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c79910fc7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 Summary" sheetId="1" r:id="R73a72074ae6b4ff0"/>
    <x:sheet xmlns:r="http://schemas.openxmlformats.org/officeDocument/2006/relationships" name="Evaluation Actions" sheetId="2" r:id="R239ec65d6dae4578"/>
    <x:sheet xmlns:r="http://schemas.openxmlformats.org/officeDocument/2006/relationships" name="Chapter Gate Checklist" sheetId="3" r:id="R3242ecd4850b41d2"/>
    <x:sheet xmlns:r="http://schemas.openxmlformats.org/officeDocument/2006/relationships" name="Evidence Locks" sheetId="4" r:id="R41ca57eb8f5b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  <x:font>
      <x:b/>
      <x:sz val="16"/>
      <x:color rgb="FFFFFFFF"/>
      <x:name val="Carlito"/>
    </x:font>
    <x:font>
      <x:i/>
      <x:sz val="11"/>
      <x:color rgb="FF35566B"/>
      <x:name val="Carlito"/>
    </x:font>
    <x:font>
      <x:b/>
      <x:sz val="11"/>
      <x:color rgb="FF123047"/>
      <x:name val="Carlito"/>
    </x:font>
    <x:font>
      <x:sz val="11"/>
      <x:color rgb="FF172B3A"/>
      <x:name val="Carlito"/>
    </x:font>
    <x:font>
      <x:sz val="10"/>
      <x:color rgb="FF172B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AF2"/>
      </x:patternFill>
    </x:fill>
    <x:fill>
      <x:patternFill patternType="solid">
        <x:fgColor rgb="FFEAF2F6"/>
      </x:patternFill>
    </x:fill>
    <x:fill>
      <x:patternFill patternType="solid">
        <x:fgColor rgb="FF2D6A78"/>
      </x:patternFill>
    </x:fill>
    <x:fill>
      <x:patternFill patternType="solid">
        <x:fgColor rgb="FFF4F8FA"/>
      </x:patternFill>
    </x:fill>
    <x:fill>
      <x:patternFill patternType="solid">
        <x:fgColor rgb="FF244F62"/>
      </x:patternFill>
    </x:fill>
    <x:fill>
      <x:patternFill patternType="solid">
        <x:fgColor rgb="FF7A4E12"/>
      </x:patternFill>
    </x:fill>
  </x:fills>
  <x:borders count="9">
    <x:border/>
    <x:border>
      <x:left style="thin">
        <x:color rgb="FF9FB8C5"/>
      </x:left>
      <x:top style="thin">
        <x:color rgb="FF9FB8C5"/>
      </x:top>
    </x:border>
    <x:border>
      <x:top style="thin">
        <x:color rgb="FF9FB8C5"/>
      </x:top>
    </x:border>
    <x:border>
      <x:right style="thin">
        <x:color rgb="FF9FB8C5"/>
      </x:right>
      <x:top style="thin">
        <x:color rgb="FF9FB8C5"/>
      </x:top>
    </x:border>
    <x:border>
      <x:left style="thin">
        <x:color rgb="FF9FB8C5"/>
      </x:left>
    </x:border>
    <x:border>
      <x:right style="thin">
        <x:color rgb="FF9FB8C5"/>
      </x:right>
    </x:border>
    <x:border>
      <x:left style="thin">
        <x:color rgb="FF9FB8C5"/>
      </x:left>
      <x:bottom style="thin">
        <x:color rgb="FF9FB8C5"/>
      </x:bottom>
    </x:border>
    <x:border>
      <x:bottom style="thin">
        <x:color rgb="FF9FB8C5"/>
      </x:bottom>
    </x:border>
    <x:border>
      <x:right style="thin">
        <x:color rgb="FF9FB8C5"/>
      </x:right>
      <x:bottom style="thin">
        <x:color rgb="FF9FB8C5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5" fillId="4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45A32"/>
      </x:font>
      <x:fill>
        <x:patternFill patternType="solid">
          <x:bgColor rgb="FFDDF2E3"/>
        </x:patternFill>
      </x:fill>
    </x:dxf>
    <x:dxf>
      <x:font>
        <x:b/>
        <x:color rgb="FF7A4E12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a076784f440bb" /><Relationship Type="http://schemas.openxmlformats.org/officeDocument/2006/relationships/theme" Target="/xl/theme/theme1.xml" Id="R62cc8908432b4401" /><Relationship Type="http://schemas.openxmlformats.org/officeDocument/2006/relationships/sharedStrings" Target="/xl/sharedStrings.xml" Id="R4517331ef0c8420c" /><Relationship Type="http://schemas.openxmlformats.org/officeDocument/2006/relationships/worksheet" Target="/xl/worksheets/sheet1.xml" Id="R73a72074ae6b4ff0" /><Relationship Type="http://schemas.openxmlformats.org/officeDocument/2006/relationships/worksheet" Target="/xl/worksheets/sheet2.xml" Id="R239ec65d6dae4578" /><Relationship Type="http://schemas.openxmlformats.org/officeDocument/2006/relationships/worksheet" Target="/xl/worksheets/sheet3.xml" Id="R3242ecd4850b41d2" /><Relationship Type="http://schemas.openxmlformats.org/officeDocument/2006/relationships/worksheet" Target="/xl/worksheets/sheet4.xml" Id="R41ca57eb8f5b44c2" /></Relationships>
</file>

<file path=xl/tables/table1.xml><?xml version="1.0" encoding="utf-8"?>
<x:table xmlns:x="http://schemas.openxmlformats.org/spreadsheetml/2006/main" id="1" name="EvaluationActionTable" displayName="EvaluationActionTable" ref="A1:J13" headerRowCount="1" totalsRowCount="0" totalsRowShown="0">
  <x:tableColumns count="10">
    <x:tableColumn id="1" name="action_id"/>
    <x:tableColumn id="2" name="claim_link"/>
    <x:tableColumn id="3" name="evidence_gap"/>
    <x:tableColumn id="4" name="current_evidence"/>
    <x:tableColumn id="5" name="disposition"/>
    <x:tableColumn id="6" name="before_chapter_planning"/>
    <x:tableColumn id="7" name="required_handling"/>
    <x:tableColumn id="8" name="uses_existing_evidence_only"/>
    <x:tableColumn id="9" name="prohibited_claim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pterGateTable" displayName="ChapterGateTable" ref="A1:D10" headerRowCount="1" totalsRowCount="0" totalsRowShown="0">
  <x:tableColumns count="4">
    <x:tableColumn id="1" name="gate_id"/>
    <x:tableColumn id="2" name="gate"/>
    <x:tableColumn id="3" name="status"/>
    <x:tableColumn id="4" name="evidence_or_next_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LockTable" displayName="EvidenceLockTable" ref="A1:D10" headerRowCount="1" totalsRowCount="0" totalsRowShown="0">
  <x:tableColumns count="4">
    <x:tableColumn id="1" name="lock_id"/>
    <x:tableColumn id="2" name="evidence_area"/>
    <x:tableColumn id="3" name="frozen_interpretation"/>
    <x:tableColumn id="4" name="prohib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254478f4a34e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ceb43bc37048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03f5bfd4424e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1" customHeight="1">
      <x:c r="A1" s="20" t="str">
        <x:v>Combat Cognition — Unresolved Evaluation-Action Register</x:v>
      </x:c>
      <x:c r="B1" s="21"/>
      <x:c r="C1" s="21"/>
      <x:c r="D1" s="21"/>
      <x:c r="E1" s="21"/>
      <x:c r="F1" s="21"/>
      <x:c r="G1" s="21"/>
      <x:c r="H1" s="22"/>
    </x:row>
    <x:row r="2" ht="24" customHeight="1">
      <x:c r="A2" s="23" t="str">
        <x:v>Decision freeze for the P001 jab-only laptop-camera feasibility case. No thesis prose.</x:v>
      </x:c>
      <x:c r="B2" s="10"/>
      <x:c r="C2" s="10"/>
      <x:c r="D2" s="10"/>
      <x:c r="E2" s="10"/>
      <x:c r="F2" s="10"/>
      <x:c r="G2" s="10"/>
      <x:c r="H2" s="24"/>
    </x:row>
    <x:row r="3">
      <x:c r="A3" s="25"/>
      <x:c r="B3" s="26"/>
      <x:c r="C3" s="26"/>
      <x:c r="D3" s="26"/>
      <x:c r="E3" s="26"/>
      <x:c r="F3" s="26"/>
      <x:c r="G3" s="26"/>
      <x:c r="H3" s="27"/>
    </x:row>
    <x:row r="4">
      <x:c r="A4" s="28" t="str">
        <x:v>Register date</x:v>
      </x:c>
      <x:c r="B4" s="7" t="n">
        <x:v>46235</x:v>
      </x:c>
      <x:c r="C4" s="26"/>
      <x:c r="D4" s="26"/>
      <x:c r="E4" s="26"/>
      <x:c r="F4" s="26"/>
      <x:c r="G4" s="26"/>
      <x:c r="H4" s="27"/>
    </x:row>
    <x:row r="5">
      <x:c r="A5" s="28" t="str">
        <x:v>Total actions</x:v>
      </x:c>
      <x:c r="B5" s="26" t="n">
        <x:f>COUNTA('Evaluation Actions'!$A$2:$A$13)</x:f>
        <x:v>12</x:v>
      </x:c>
      <x:c r="C5" s="26"/>
      <x:c r="D5" s="26"/>
      <x:c r="E5" s="26"/>
      <x:c r="F5" s="26"/>
      <x:c r="G5" s="26"/>
      <x:c r="H5" s="27"/>
    </x:row>
    <x:row r="6">
      <x:c r="A6" s="28" t="str">
        <x:v>Closed / complete</x:v>
      </x:c>
      <x:c r="B6" s="26" t="n">
        <x:f>COUNTIF('Evaluation Actions'!$J$2:$J$13,"Closed")+COUNTIF('Evaluation Actions'!$J$2:$J$13,"Closed—not applicable")+COUNTIF('Evaluation Actions'!$J$2:$J$13,"Closed—constraint")</x:f>
        <x:v>4</x:v>
      </x:c>
      <x:c r="C6" s="26"/>
      <x:c r="D6" s="26"/>
      <x:c r="E6" s="26"/>
      <x:c r="F6" s="26"/>
      <x:c r="G6" s="26"/>
      <x:c r="H6" s="27"/>
    </x:row>
    <x:row r="7">
      <x:c r="A7" s="28" t="str">
        <x:v>Open—bounded</x:v>
      </x:c>
      <x:c r="B7" s="26" t="n">
        <x:f>COUNTIF('Evaluation Actions'!$J$2:$J$13,"Open—bounded")</x:f>
        <x:v>8</x:v>
      </x:c>
      <x:c r="C7" s="26"/>
      <x:c r="D7" s="26"/>
      <x:c r="E7" s="26"/>
      <x:c r="F7" s="26"/>
      <x:c r="G7" s="26"/>
      <x:c r="H7" s="27"/>
    </x:row>
    <x:row r="8">
      <x:c r="A8" s="28" t="str">
        <x:v>Additional data required now</x:v>
      </x:c>
      <x:c r="B8" s="26" t="n">
        <x:f>COUNTIF('Evaluation Actions'!$F$2:$F$13,"Required now")</x:f>
        <x:v>0</x:v>
      </x:c>
      <x:c r="C8" s="26"/>
      <x:c r="D8" s="26"/>
      <x:c r="E8" s="26"/>
      <x:c r="F8" s="26"/>
      <x:c r="G8" s="26"/>
      <x:c r="H8" s="27"/>
    </x:row>
    <x:row r="9">
      <x:c r="A9" s="28" t="str">
        <x:v>New participants required now</x:v>
      </x:c>
      <x:c r="B9" s="26" t="str">
        <x:v>No</x:v>
      </x:c>
      <x:c r="C9" s="26"/>
      <x:c r="D9" s="26"/>
      <x:c r="E9" s="26"/>
      <x:c r="F9" s="26"/>
      <x:c r="G9" s="26"/>
      <x:c r="H9" s="27"/>
    </x:row>
    <x:row r="10">
      <x:c r="A10" s="28" t="str">
        <x:v>New recordings required now</x:v>
      </x:c>
      <x:c r="B10" s="26" t="str">
        <x:v>No</x:v>
      </x:c>
      <x:c r="C10" s="26"/>
      <x:c r="D10" s="26"/>
      <x:c r="E10" s="26"/>
      <x:c r="F10" s="26"/>
      <x:c r="G10" s="26"/>
      <x:c r="H10" s="27"/>
    </x:row>
    <x:row r="11">
      <x:c r="A11" s="28" t="str">
        <x:v>Scope expansion</x:v>
      </x:c>
      <x:c r="B11" s="26" t="str">
        <x:v>None</x:v>
      </x:c>
      <x:c r="C11" s="26"/>
      <x:c r="D11" s="26"/>
      <x:c r="E11" s="26"/>
      <x:c r="F11" s="26"/>
      <x:c r="G11" s="26"/>
      <x:c r="H11" s="27"/>
    </x:row>
    <x:row r="12">
      <x:c r="A12" s="25"/>
      <x:c r="B12" s="26"/>
      <x:c r="C12" s="26"/>
      <x:c r="D12" s="26"/>
      <x:c r="E12" s="26"/>
      <x:c r="F12" s="26"/>
      <x:c r="G12" s="26"/>
      <x:c r="H12" s="27"/>
    </x:row>
    <x:row r="13" ht="34" customHeight="1">
      <x:c r="A13" s="29" t="str">
        <x:v>Decision rule</x:v>
      </x:c>
      <x:c r="B13" s="15" t="str">
        <x:v>Proceed condition</x:v>
      </x:c>
      <x:c r="C13" s="15" t="str">
        <x:v>Evidence boundary</x:v>
      </x:c>
      <x:c r="D13" s="15" t="str">
        <x:v>P001 treatment</x:v>
      </x:c>
      <x:c r="E13" s="15" t="str">
        <x:v>Model treatment</x:v>
      </x:c>
      <x:c r="F13" s="15" t="str">
        <x:v>Software treatment</x:v>
      </x:c>
      <x:c r="G13" s="15" t="str">
        <x:v>Media treatment</x:v>
      </x:c>
      <x:c r="H13" s="30" t="str">
        <x:v>Next protocol gate</x:v>
      </x:c>
    </x:row>
    <x:row r="14" ht="80" customHeight="1">
      <x:c r="A14" s="31" t="str">
        <x:v>Unobtainable evidence is disclosed, not invented</x:v>
      </x:c>
      <x:c r="B14" s="32" t="str">
        <x:v>All open items have explicit limitation/future-work handling</x:v>
      </x:c>
      <x:c r="C14" s="32" t="str">
        <x:v>No combined overall accuracy</x:v>
      </x:c>
      <x:c r="D14" s="32" t="str">
        <x:v>Expert self-evaluation only</x:v>
      </x:c>
      <x:c r="E14" s="32" t="str">
        <x:v>Benchmark/generated/model-only metrics remain labelled</x:v>
      </x:c>
      <x:c r="F14" s="32" t="str">
        <x:v>Tests establish verification, not task accuracy</x:v>
      </x:c>
      <x:c r="G14" s="32" t="str">
        <x:v>Screenshots restricted; videos excluded</x:v>
      </x:c>
      <x:c r="H14" s="33" t="str">
        <x:v>Finalize figures, tables and appendices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38" hidden="0" customWidth="1"/>
    <x:col min="4" max="4" width="52" hidden="0" customWidth="1"/>
    <x:col min="5" max="5" width="26" hidden="0" customWidth="1"/>
    <x:col min="6" max="6" width="29" hidden="0" customWidth="1"/>
    <x:col min="7" max="7" width="54" hidden="0" customWidth="1"/>
    <x:col min="8" max="8" width="20" hidden="0" customWidth="1"/>
    <x:col min="9" max="9" width="42" hidden="0" customWidth="1"/>
    <x:col min="10" max="10" width="19" hidden="0" customWidth="1"/>
  </x:cols>
  <x:sheetData>
    <x:row r="1">
      <x:c r="A1" s="3" t="str">
        <x:v>action_id</x:v>
      </x:c>
      <x:c r="B1" s="3" t="str">
        <x:v>claim_link</x:v>
      </x:c>
      <x:c r="C1" s="3" t="str">
        <x:v>evidence_gap</x:v>
      </x:c>
      <x:c r="D1" s="3" t="str">
        <x:v>current_evidence</x:v>
      </x:c>
      <x:c r="E1" s="3" t="str">
        <x:v>disposition</x:v>
      </x:c>
      <x:c r="F1" s="3" t="str">
        <x:v>before_chapter_planning</x:v>
      </x:c>
      <x:c r="G1" s="3" t="str">
        <x:v>required_handling</x:v>
      </x:c>
      <x:c r="H1" s="3" t="str">
        <x:v>uses_existing_evidence_only</x:v>
      </x:c>
      <x:c r="I1" s="3" t="str">
        <x:v>prohibited_claim</x:v>
      </x:c>
      <x:c r="J1" s="3" t="str">
        <x:v>status</x:v>
      </x:c>
    </x:row>
    <x:row r="2">
      <x:c r="A2" s="6" t="str">
        <x:v>EA01</x:v>
      </x:c>
      <x:c r="B2" s="6" t="str">
        <x:v>C01</x:v>
      </x:c>
      <x:c r="C2" s="6" t="str">
        <x:v>Independent landmark and jab-form accuracy</x:v>
      </x:c>
      <x:c r="D2" s="6" t="str">
        <x:v>No blinded landmark/form labels exist for P001.</x:v>
      </x:c>
      <x:c r="E2" s="6" t="str">
        <x:v>Limitation + future evaluation</x:v>
      </x:c>
      <x:c r="F2" s="6" t="str">
        <x:v>Not required for bounded feasibility conclusion</x:v>
      </x:c>
      <x:c r="G2" s="6" t="str">
        <x:v>Disclose that operation/screenshots show function, not accuracy; propose independent frame annotation later.</x:v>
      </x:c>
      <x:c r="H2" s="6" t="str">
        <x:v>No</x:v>
      </x:c>
      <x:c r="I2" s="6" t="str">
        <x:v>Population or application accuracy</x:v>
      </x:c>
      <x:c r="J2" s="6" t="str">
        <x:v>Open—bounded</x:v>
      </x:c>
    </x:row>
    <x:row r="3">
      <x:c r="A3" s="6" t="str">
        <x:v>EA02</x:v>
      </x:c>
      <x:c r="B3" s="6" t="str">
        <x:v>C02</x:v>
      </x:c>
      <x:c r="C3" s="6" t="str">
        <x:v>Real jab-domain ACP evaluation and component ablation</x:v>
      </x:c>
      <x:c r="D3" s="6" t="str">
        <x:v>ACP is evaluated on participant-held-out Human3.6M-17; no grouped jab ground truth or ablation.</x:v>
      </x:c>
      <x:c r="E3" s="6" t="str">
        <x:v>Limitation + future evaluation</x:v>
      </x:c>
      <x:c r="F3" s="6" t="str">
        <x:v>Not required for benchmark-specific prototype conclusion</x:v>
      </x:c>
      <x:c r="G3" s="6" t="str">
        <x:v>Report benchmark/domain gap and avoid attributing gains to individual components; defer grouped jab evaluation/ablation.</x:v>
      </x:c>
      <x:c r="H3" s="6" t="str">
        <x:v>No</x:v>
      </x:c>
      <x:c r="I3" s="6" t="str">
        <x:v>Jab prediction validity or component causality</x:v>
      </x:c>
      <x:c r="J3" s="6" t="str">
        <x:v>Open—bounded</x:v>
      </x:c>
    </x:row>
    <x:row r="4">
      <x:c r="A4" s="6" t="str">
        <x:v>EA03</x:v>
      </x:c>
      <x:c r="B4" s="6" t="str">
        <x:v>C03</x:v>
      </x:c>
      <x:c r="C4" s="6" t="str">
        <x:v>Last-pose and constant-velocity baselines</x:v>
      </x:c>
      <x:c r="D4" s="6" t="str">
        <x:v>Frozen ACP package reports both baselines and per-horizon errors.</x:v>
      </x:c>
      <x:c r="E4" s="6" t="str">
        <x:v>Completed from existing evidence</x:v>
      </x:c>
      <x:c r="F4" s="6" t="str">
        <x:v>Complete</x:v>
      </x:c>
      <x:c r="G4" s="6" t="str">
        <x:v>Retain benchmark-specific normalized metrics and relative error reductions.</x:v>
      </x:c>
      <x:c r="H4" s="6" t="str">
        <x:v>Yes</x:v>
      </x:c>
      <x:c r="I4" s="6" t="str">
        <x:v>Millimetres, jab-domain or state-of-the-art performance</x:v>
      </x:c>
      <x:c r="J4" s="6" t="str">
        <x:v>Closed</x:v>
      </x:c>
    </x:row>
    <x:row r="5">
      <x:c r="A5" s="6" t="str">
        <x:v>EA04</x:v>
      </x:c>
      <x:c r="B5" s="6" t="str">
        <x:v>C04</x:v>
      </x:c>
      <x:c r="C5" s="6" t="str">
        <x:v>Real annotated phase and boundary evaluation</x:v>
      </x:c>
      <x:c r="D5" s="6" t="str">
        <x:v>Phase metrics use generated bootstrap data; P001 has no frozen independent framewise phase labels.</x:v>
      </x:c>
      <x:c r="E5" s="6" t="str">
        <x:v>Limitation + future evaluation</x:v>
      </x:c>
      <x:c r="F5" s="6" t="str">
        <x:v>Not required for generated-pipeline conclusion</x:v>
      </x:c>
      <x:c r="G5" s="6" t="str">
        <x:v>Label metrics as generator-defined pipeline evidence; defer grouped real annotated boundary evaluation.</x:v>
      </x:c>
      <x:c r="H5" s="6" t="str">
        <x:v>No</x:v>
      </x:c>
      <x:c r="I5" s="6" t="str">
        <x:v>Real-jab phase accuracy</x:v>
      </x:c>
      <x:c r="J5" s="6" t="str">
        <x:v>Open—bounded</x:v>
      </x:c>
    </x:row>
    <x:row r="6">
      <x:c r="A6" s="6" t="str">
        <x:v>EA05</x:v>
      </x:c>
      <x:c r="B6" s="6" t="str">
        <x:v>C06</x:v>
      </x:c>
      <x:c r="C6" s="6" t="str">
        <x:v>Rule-only versus hybrid end-to-end comparison</x:v>
      </x:c>
      <x:c r="D6" s="6" t="str">
        <x:v>Historical export has no verified experimental-condition label.</x:v>
      </x:c>
      <x:c r="E6" s="6" t="str">
        <x:v>Limitation + future evaluation</x:v>
      </x:c>
      <x:c r="F6" s="6" t="str">
        <x:v>Not required for implemented-framework feasibility</x:v>
      </x:c>
      <x:c r="G6" s="6" t="str">
        <x:v>Do not reconstruct conditions retrospectively; report absence and defer a condition-labelled replay.</x:v>
      </x:c>
      <x:c r="H6" s="6" t="str">
        <x:v>No</x:v>
      </x:c>
      <x:c r="I6" s="6" t="str">
        <x:v>Comparative coaching benefit or causal effect</x:v>
      </x:c>
      <x:c r="J6" s="6" t="str">
        <x:v>Open—bounded</x:v>
      </x:c>
    </x:row>
    <x:row r="7">
      <x:c r="A7" s="6" t="str">
        <x:v>EA06</x:v>
      </x:c>
      <x:c r="B7" s="6" t="str">
        <x:v>C08</x:v>
      </x:c>
      <x:c r="C7" s="6" t="str">
        <x:v>Independent validation of jab variables and thresholds</x:v>
      </x:c>
      <x:c r="D7" s="6" t="str">
        <x:v>P001 traces support multi-joint variables, but thresholds are researcher-authored.</x:v>
      </x:c>
      <x:c r="E7" s="6" t="str">
        <x:v>Limitation + future evaluation</x:v>
      </x:c>
      <x:c r="F7" s="6" t="str">
        <x:v>Not required for expert-informed prototype description</x:v>
      </x:c>
      <x:c r="G7" s="6" t="str">
        <x:v>Describe thresholds as expert-authored implementation choices; defer independent expert/sensor triangulation.</x:v>
      </x:c>
      <x:c r="H7" s="6" t="str">
        <x:v>No</x:v>
      </x:c>
      <x:c r="I7" s="6" t="str">
        <x:v>Universal or clinically validated thresholds</x:v>
      </x:c>
      <x:c r="J7" s="6" t="str">
        <x:v>Open—bounded</x:v>
      </x:c>
    </x:row>
    <x:row r="8">
      <x:c r="A8" s="6" t="str">
        <x:v>EA07</x:v>
      </x:c>
      <x:c r="B8" s="6" t="str">
        <x:v>Cross-cutting</x:v>
      </x:c>
      <x:c r="C8" s="6" t="str">
        <x:v>End-to-end latency and frame-rate measurement</x:v>
      </x:c>
      <x:c r="D8" s="6" t="str">
        <x:v>Only model-only ONNX latency exists; export contains zero response-time observations.</x:v>
      </x:c>
      <x:c r="E8" s="6" t="str">
        <x:v>Limitation + future evaluation</x:v>
      </x:c>
      <x:c r="F8" s="6" t="str">
        <x:v>Not required for model-only latency claim</x:v>
      </x:c>
      <x:c r="G8" s="6" t="str">
        <x:v>Keep ACP/phase latency labelled model-only; defer camera-to-feedback timing on the same laptop.</x:v>
      </x:c>
      <x:c r="H8" s="6" t="str">
        <x:v>No</x:v>
      </x:c>
      <x:c r="I8" s="6" t="str">
        <x:v>Real-time full-system performance</x:v>
      </x:c>
      <x:c r="J8" s="6" t="str">
        <x:v>Open—bounded</x:v>
      </x:c>
    </x:row>
    <x:row r="9">
      <x:c r="A9" s="6" t="str">
        <x:v>EA08</x:v>
      </x:c>
      <x:c r="B9" s="6" t="str">
        <x:v>Cross-cutting</x:v>
      </x:c>
      <x:c r="C9" s="6" t="str">
        <x:v>Structured usability ratings</x:v>
      </x:c>
      <x:c r="D9" s="6" t="str">
        <x:v>No structured P001 usability instrument was captured.</x:v>
      </x:c>
      <x:c r="E9" s="6" t="str">
        <x:v>Limitation + future evaluation</x:v>
      </x:c>
      <x:c r="F9" s="6" t="str">
        <x:v>Not required for descriptive expert self-evaluation</x:v>
      </x:c>
      <x:c r="G9" s="6" t="str">
        <x:v>Use supplied commentary only as qualitative expert observation; do not invent retrospective scores.</x:v>
      </x:c>
      <x:c r="H9" s="6" t="str">
        <x:v>No</x:v>
      </x:c>
      <x:c r="I9" s="6" t="str">
        <x:v>Participant usability or satisfaction score</x:v>
      </x:c>
      <x:c r="J9" s="6" t="str">
        <x:v>Open—bounded</x:v>
      </x:c>
    </x:row>
    <x:row r="10">
      <x:c r="A10" s="6" t="str">
        <x:v>EA09</x:v>
      </x:c>
      <x:c r="B10" s="6" t="str">
        <x:v>Cross-cutting</x:v>
      </x:c>
      <x:c r="C10" s="6" t="str">
        <x:v>Canonical, rule-engine and repetition-row inconsistency</x:v>
      </x:c>
      <x:c r="D10" s="6" t="str">
        <x:v>practice-42 preserves 3 canonical reps, 0 rule-engine reps and one implausible-duration repetition row.</x:v>
      </x:c>
      <x:c r="E10" s="6" t="str">
        <x:v>Completed as failure-mode evidence</x:v>
      </x:c>
      <x:c r="F10" s="6" t="str">
        <x:v>Complete</x:v>
      </x:c>
      <x:c r="G10" s="6" t="str">
        <x:v>Retain and report the discrepancy; do not repair or harmonize the historical evidence.</x:v>
      </x:c>
      <x:c r="H10" s="6" t="str">
        <x:v>Yes</x:v>
      </x:c>
      <x:c r="I10" s="6" t="str">
        <x:v>Perfect integration or internally consistent persistence</x:v>
      </x:c>
      <x:c r="J10" s="6" t="str">
        <x:v>Closed</x:v>
      </x:c>
    </x:row>
    <x:row r="11">
      <x:c r="A11" s="6" t="str">
        <x:v>EA10</x:v>
      </x:c>
      <x:c r="B11" s="6" t="str">
        <x:v>Cross-cutting</x:v>
      </x:c>
      <x:c r="C11" s="6" t="str">
        <x:v>Generalization beyond P001, jab and laptop camera</x:v>
      </x:c>
      <x:c r="D11" s="6" t="str">
        <x:v>Available controlled evidence is intentionally limited to one researcher-expert case.</x:v>
      </x:c>
      <x:c r="E11" s="6" t="str">
        <x:v>Limitation + future evaluation</x:v>
      </x:c>
      <x:c r="F11" s="6" t="str">
        <x:v>Not required for n=1 expert feasibility conclusion</x:v>
      </x:c>
      <x:c r="G11" s="6" t="str">
        <x:v>Freeze scope; defer additional people, techniques, viewpoints and devices.</x:v>
      </x:c>
      <x:c r="H11" s="6" t="str">
        <x:v>No</x:v>
      </x:c>
      <x:c r="I11" s="6" t="str">
        <x:v>Population effectiveness or cross-technique generalization</x:v>
      </x:c>
      <x:c r="J11" s="6" t="str">
        <x:v>Open—bounded</x:v>
      </x:c>
    </x:row>
    <x:row r="12">
      <x:c r="A12" s="6" t="str">
        <x:v>EA11</x:v>
      </x:c>
      <x:c r="B12" s="6" t="str">
        <x:v>Cross-cutting</x:v>
      </x:c>
      <x:c r="C12" s="6" t="str">
        <x:v>Operational LLM evaluation</x:v>
      </x:c>
      <x:c r="D12" s="6" t="str">
        <x:v>Implementation audit found deterministic rule/template feedback and no operational OpenAI LLM.</x:v>
      </x:c>
      <x:c r="E12" s="6" t="str">
        <x:v>Not applicable to current artifact</x:v>
      </x:c>
      <x:c r="F12" s="6" t="str">
        <x:v>Complete</x:v>
      </x:c>
      <x:c r="G12" s="6" t="str">
        <x:v>Evaluate and describe the deployed deterministic coaching layer; keep any LLM comparison as future work only.</x:v>
      </x:c>
      <x:c r="H12" s="6" t="str">
        <x:v>Yes</x:v>
      </x:c>
      <x:c r="I12" s="6" t="str">
        <x:v>Current LLM operation, intelligence or benefit</x:v>
      </x:c>
      <x:c r="J12" s="6" t="str">
        <x:v>Closed—not applicable</x:v>
      </x:c>
    </x:row>
    <x:row r="13">
      <x:c r="A13" s="6" t="str">
        <x:v>EA12</x:v>
      </x:c>
      <x:c r="B13" s="6" t="str">
        <x:v>Cross-cutting</x:v>
      </x:c>
      <x:c r="C13" s="6" t="str">
        <x:v>Private recordings in report</x:v>
      </x:c>
      <x:c r="D13" s="6" t="str">
        <x:v>User requires recordings to remain private and excluded.</x:v>
      </x:c>
      <x:c r="E13" s="6" t="str">
        <x:v>Protocol constraint</x:v>
      </x:c>
      <x:c r="F13" s="6" t="str">
        <x:v>Complete</x:v>
      </x:c>
      <x:c r="G13" s="6" t="str">
        <x:v>Use derived anonymized screenshots/data only where allowed; do not insert video into report artifacts.</x:v>
      </x:c>
      <x:c r="H13" s="6" t="str">
        <x:v>Yes</x:v>
      </x:c>
      <x:c r="I13" s="6" t="str">
        <x:v>Video-based report evidence</x:v>
      </x:c>
      <x:c r="J13" s="6" t="str">
        <x:v>Closed—constraint</x:v>
      </x:c>
    </x:row>
  </x:sheetData>
  <x:conditionalFormatting sqref="J2:J13">
    <x:cfRule type="expression" dxfId="0" priority="1">
      <x:formula>LEFT(J2,6)="Closed"</x:formula>
    </x:cfRule>
    <x:cfRule type="expression" dxfId="1" priority="2">
      <x:formula>LEFT(J2,4)="Open"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254478f4a34e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5" hidden="0" customWidth="1"/>
    <x:col min="4" max="4" width="72" hidden="0" customWidth="1"/>
  </x:cols>
  <x:sheetData>
    <x:row r="1">
      <x:c r="A1" s="36" t="str">
        <x:v>gate_id</x:v>
      </x:c>
      <x:c r="B1" s="36" t="str">
        <x:v>gate</x:v>
      </x:c>
      <x:c r="C1" s="36" t="str">
        <x:v>status</x:v>
      </x:c>
      <x:c r="D1" s="36" t="str">
        <x:v>evidence_or_next_action</x:v>
      </x:c>
    </x:row>
    <x:row r="2">
      <x:c r="A2" s="39" t="str">
        <x:v>G01</x:v>
      </x:c>
      <x:c r="B2" s="39" t="str">
        <x:v>Claim reconciliation frozen</x:v>
      </x:c>
      <x:c r="C2" s="39" t="str">
        <x:v>Complete</x:v>
      </x:c>
      <x:c r="D2" s="39" t="str">
        <x:v>Four supported-with-boundary; five partially supported; no unsupported claims</x:v>
      </x:c>
    </x:row>
    <x:row r="3">
      <x:c r="A3" s="39" t="str">
        <x:v>G02</x:v>
      </x:c>
      <x:c r="B3" s="39" t="str">
        <x:v>Baseline requirement checked</x:v>
      </x:c>
      <x:c r="C3" s="39" t="str">
        <x:v>Complete</x:v>
      </x:c>
      <x:c r="D3" s="39" t="str">
        <x:v>Last-pose and constant-velocity evidence already frozen in ACP package</x:v>
      </x:c>
    </x:row>
    <x:row r="4">
      <x:c r="A4" s="39" t="str">
        <x:v>G03</x:v>
      </x:c>
      <x:c r="B4" s="39" t="str">
        <x:v>Missing empirical evidence dispositioned</x:v>
      </x:c>
      <x:c r="C4" s="39" t="str">
        <x:v>Complete</x:v>
      </x:c>
      <x:c r="D4" s="39" t="str">
        <x:v>EA01, EA02, EA04–EA08 and EA10 become explicit limitations/future evaluation</x:v>
      </x:c>
    </x:row>
    <x:row r="5">
      <x:c r="A5" s="39" t="str">
        <x:v>G04</x:v>
      </x:c>
      <x:c r="B5" s="39" t="str">
        <x:v>Integration discrepancy retained</x:v>
      </x:c>
      <x:c r="C5" s="39" t="str">
        <x:v>Complete</x:v>
      </x:c>
      <x:c r="D5" s="39" t="str">
        <x:v>EA09 preserved as failure-mode evidence</x:v>
      </x:c>
    </x:row>
    <x:row r="6">
      <x:c r="A6" s="39" t="str">
        <x:v>G05</x:v>
      </x:c>
      <x:c r="B6" s="39" t="str">
        <x:v>Operational reasoning identity controlled</x:v>
      </x:c>
      <x:c r="C6" s="39" t="str">
        <x:v>Complete</x:v>
      </x:c>
      <x:c r="D6" s="39" t="str">
        <x:v>EA11 confirms deterministic rule/template artifact; LLM evaluation not applicable</x:v>
      </x:c>
    </x:row>
    <x:row r="7">
      <x:c r="A7" s="39" t="str">
        <x:v>G06</x:v>
      </x:c>
      <x:c r="B7" s="39" t="str">
        <x:v>Participant/technique/camera scope frozen</x:v>
      </x:c>
      <x:c r="C7" s="39" t="str">
        <x:v>Complete</x:v>
      </x:c>
      <x:c r="D7" s="39" t="str">
        <x:v>P001 only; jab only; laptop camera</x:v>
      </x:c>
    </x:row>
    <x:row r="8">
      <x:c r="A8" s="39" t="str">
        <x:v>G07</x:v>
      </x:c>
      <x:c r="B8" s="39" t="str">
        <x:v>Media handling frozen</x:v>
      </x:c>
      <x:c r="C8" s="39" t="str">
        <x:v>Complete</x:v>
      </x:c>
      <x:c r="D8" s="39" t="str">
        <x:v>Screenshots restricted; videos private and excluded</x:v>
      </x:c>
    </x:row>
    <x:row r="9">
      <x:c r="A9" s="39" t="str">
        <x:v>G08</x:v>
      </x:c>
      <x:c r="B9" s="39" t="str">
        <x:v>Figures/tables/appendices finalized</x:v>
      </x:c>
      <x:c r="C9" s="39" t="str">
        <x:v>Next</x:v>
      </x:c>
      <x:c r="D9" s="39" t="str">
        <x:v>Preparation step 3</x:v>
      </x:c>
    </x:row>
    <x:row r="10">
      <x:c r="A10" s="39" t="str">
        <x:v>G09</x:v>
      </x:c>
      <x:c r="B10" s="39" t="str">
        <x:v>University-format chapter plan and claim approval</x:v>
      </x:c>
      <x:c r="C10" s="39" t="str">
        <x:v>Pending</x:v>
      </x:c>
      <x:c r="D10" s="39" t="str">
        <x:v>Preparation step 4; thesis writing still prohibited</x:v>
      </x:c>
    </x:row>
  </x:sheetData>
  <x:pageMargins left="0.7" right="0.7" top="0.75" bottom="0.75" header="0.3" footer="0.3"/>
  <x:tableParts count="1">
    <x:tablePart xmlns:r="http://schemas.openxmlformats.org/officeDocument/2006/relationships" r:id="Rcbceb43bc37048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70" hidden="0" customWidth="1"/>
    <x:col min="4" max="4" width="55" hidden="0" customWidth="1"/>
  </x:cols>
  <x:sheetData>
    <x:row r="1">
      <x:c r="A1" s="42" t="str">
        <x:v>lock_id</x:v>
      </x:c>
      <x:c r="B1" s="42" t="str">
        <x:v>evidence_area</x:v>
      </x:c>
      <x:c r="C1" s="42" t="str">
        <x:v>frozen_interpretation</x:v>
      </x:c>
      <x:c r="D1" s="42" t="str">
        <x:v>prohibition</x:v>
      </x:c>
    </x:row>
    <x:row r="2">
      <x:c r="A2" s="39" t="str">
        <x:v>L01</x:v>
      </x:c>
      <x:c r="B2" s="39" t="str">
        <x:v>Authoritative participant</x:v>
      </x:c>
      <x:c r="C2" s="39" t="str">
        <x:v>P001 researcher/developer/martial-arts expert</x:v>
      </x:c>
      <x:c r="D2" s="39" t="str">
        <x:v>Do not relabel as independent participant</x:v>
      </x:c>
    </x:row>
    <x:row r="3">
      <x:c r="A3" s="39" t="str">
        <x:v>L02</x:v>
      </x:c>
      <x:c r="B3" s="39" t="str">
        <x:v>Technique/device</x:v>
      </x:c>
      <x:c r="C3" s="39" t="str">
        <x:v>Jab only; laptop camera</x:v>
      </x:c>
      <x:c r="D3" s="39" t="str">
        <x:v>Do not generalize to other techniques/devices</x:v>
      </x:c>
    </x:row>
    <x:row r="4">
      <x:c r="A4" s="39" t="str">
        <x:v>L03</x:v>
      </x:c>
      <x:c r="B4" s="39" t="str">
        <x:v>Confirmed case</x:v>
      </x:c>
      <x:c r="C4" s="39" t="str">
        <x:v>practice-42; 3 clusters; 250 frames; 8.3 s; 96% tracking; 22 decoder changes</x:v>
      </x:c>
      <x:c r="D4" s="39" t="str">
        <x:v>Self-validation, not ground truth</x:v>
      </x:c>
    </x:row>
    <x:row r="5">
      <x:c r="A5" s="39" t="str">
        <x:v>L04</x:v>
      </x:c>
      <x:c r="B5" s="39" t="str">
        <x:v>Database</x:v>
      </x:c>
      <x:c r="C5" s="39" t="str">
        <x:v>Full history retained but historical/outlier records excluded from headline case</x:v>
      </x:c>
      <x:c r="D5" s="39" t="str">
        <x:v>Do not compute aggregate accuracy</x:v>
      </x:c>
    </x:row>
    <x:row r="6">
      <x:c r="A6" s="39" t="str">
        <x:v>L05</x:v>
      </x:c>
      <x:c r="B6" s="39" t="str">
        <x:v>ACP</x:v>
      </x:c>
      <x:c r="C6" s="39" t="str">
        <x:v>Human3.6M-17 benchmark with simple baselines and normalized metrics</x:v>
      </x:c>
      <x:c r="D6" s="39" t="str">
        <x:v>Not live jab or physical-unit evidence</x:v>
      </x:c>
    </x:row>
    <x:row r="7">
      <x:c r="A7" s="39" t="str">
        <x:v>L06</x:v>
      </x:c>
      <x:c r="B7" s="39" t="str">
        <x:v>Phase</x:v>
      </x:c>
      <x:c r="C7" s="39" t="str">
        <x:v>Generated bootstrap metrics</x:v>
      </x:c>
      <x:c r="D7" s="39" t="str">
        <x:v>Not real-jab phase accuracy</x:v>
      </x:c>
    </x:row>
    <x:row r="8">
      <x:c r="A8" s="39" t="str">
        <x:v>L07</x:v>
      </x:c>
      <x:c r="B8" s="39" t="str">
        <x:v>Latency</x:v>
      </x:c>
      <x:c r="C8" s="39" t="str">
        <x:v>ONNX model-only</x:v>
      </x:c>
      <x:c r="D8" s="39" t="str">
        <x:v>Not camera-to-feedback latency</x:v>
      </x:c>
    </x:row>
    <x:row r="9">
      <x:c r="A9" s="39" t="str">
        <x:v>L08</x:v>
      </x:c>
      <x:c r="B9" s="39" t="str">
        <x:v>Feedback</x:v>
      </x:c>
      <x:c r="C9" s="39" t="str">
        <x:v>Deterministic rule/template</x:v>
      </x:c>
      <x:c r="D9" s="39" t="str">
        <x:v>No operational OpenAI LLM</x:v>
      </x:c>
    </x:row>
    <x:row r="10">
      <x:c r="A10" s="39" t="str">
        <x:v>L09</x:v>
      </x:c>
      <x:c r="B10" s="39" t="str">
        <x:v>Media</x:v>
      </x:c>
      <x:c r="C10" s="39" t="str">
        <x:v>Screenshots restricted; recordings private and excluded</x:v>
      </x:c>
      <x:c r="D10" s="39" t="str">
        <x:v>Do not insert videos</x:v>
      </x:c>
    </x:row>
  </x:sheetData>
  <x:pageMargins left="0.7" right="0.7" top="0.75" bottom="0.75" header="0.3" footer="0.3"/>
  <x:tableParts count="1">
    <x:tablePart xmlns:r="http://schemas.openxmlformats.org/officeDocument/2006/relationships" r:id="Rf603f5bfd4424e48"/>
  </x:tableParts>
</x:worksheet>
</file>