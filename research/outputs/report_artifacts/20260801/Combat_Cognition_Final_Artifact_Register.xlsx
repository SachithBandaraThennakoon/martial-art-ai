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6d41c906a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 Summary" sheetId="1" r:id="R2d8e4b815bed4c5e"/>
    <x:sheet xmlns:r="http://schemas.openxmlformats.org/officeDocument/2006/relationships" name="Figure Register" sheetId="2" r:id="R690ba5476bcb49cd"/>
    <x:sheet xmlns:r="http://schemas.openxmlformats.org/officeDocument/2006/relationships" name="Figure Captions" sheetId="3" r:id="Rcd54248567a44d9c"/>
    <x:sheet xmlns:r="http://schemas.openxmlformats.org/officeDocument/2006/relationships" name="Table Register" sheetId="4" r:id="Re9ac804e7c624714"/>
    <x:sheet xmlns:r="http://schemas.openxmlformats.org/officeDocument/2006/relationships" name="Appendix Register" sheetId="5" r:id="R1a892a09e54e40ba"/>
    <x:sheet xmlns:r="http://schemas.openxmlformats.org/officeDocument/2006/relationships" name="Exclusion Register" sheetId="6" r:id="R5758188b8b1c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sz val="9"/>
      <x:color rgb="FF172B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244F62"/>
      </x:patternFill>
    </x:fill>
    <x:fill>
      <x:patternFill patternType="solid">
        <x:fgColor rgb="FF7A4E12"/>
      </x:patternFill>
    </x:fill>
    <x:fill>
      <x:patternFill patternType="solid">
        <x:fgColor rgb="FF7A3030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5cfd4aac54759" /><Relationship Type="http://schemas.openxmlformats.org/officeDocument/2006/relationships/theme" Target="/xl/theme/theme1.xml" Id="R370440841ca742dc" /><Relationship Type="http://schemas.openxmlformats.org/officeDocument/2006/relationships/sharedStrings" Target="/xl/sharedStrings.xml" Id="R2b9a094c0de24be9" /><Relationship Type="http://schemas.openxmlformats.org/officeDocument/2006/relationships/worksheet" Target="/xl/worksheets/sheet1.xml" Id="R2d8e4b815bed4c5e" /><Relationship Type="http://schemas.openxmlformats.org/officeDocument/2006/relationships/worksheet" Target="/xl/worksheets/sheet2.xml" Id="R690ba5476bcb49cd" /><Relationship Type="http://schemas.openxmlformats.org/officeDocument/2006/relationships/worksheet" Target="/xl/worksheets/sheet3.xml" Id="Rcd54248567a44d9c" /><Relationship Type="http://schemas.openxmlformats.org/officeDocument/2006/relationships/worksheet" Target="/xl/worksheets/sheet4.xml" Id="Re9ac804e7c624714" /><Relationship Type="http://schemas.openxmlformats.org/officeDocument/2006/relationships/worksheet" Target="/xl/worksheets/sheet5.xml" Id="R1a892a09e54e40ba" /><Relationship Type="http://schemas.openxmlformats.org/officeDocument/2006/relationships/worksheet" Target="/xl/worksheets/sheet6.xml" Id="R5758188b8b1c4af9" /></Relationships>
</file>

<file path=xl/tables/table1.xml><?xml version="1.0" encoding="utf-8"?>
<x:table xmlns:x="http://schemas.openxmlformats.org/spreadsheetml/2006/main" id="1" name="FinalFigureTable" displayName="FinalFigureTable" ref="A1:H5" headerRowCount="1" totalsRowCount="0" totalsRowShown="0">
  <x:tableColumns count="8">
    <x:tableColumn id="1" name="figure_id"/>
    <x:tableColumn id="2" name="working_title"/>
    <x:tableColumn id="3" name="frozen_path"/>
    <x:tableColumn id="4" name="sha256"/>
    <x:tableColumn id="5" name="status"/>
    <x:tableColumn id="6" name="evidence_class"/>
    <x:tableColumn id="7" name="planned_use"/>
    <x:tableColumn id="8" name="mandatory_caption_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CaptionTable" displayName="FigureCaptionTable" ref="A1:C5" headerRowCount="1" totalsRowCount="0" totalsRowShown="0">
  <x:tableColumns count="3">
    <x:tableColumn id="1" name="figure_id"/>
    <x:tableColumn id="2" name="caption"/>
    <x:tableColumn id="3" name="mandator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TableTable" displayName="FinalTableTable" ref="A1:G8" headerRowCount="1" totalsRowCount="0" totalsRowShown="0">
  <x:tableColumns count="7">
    <x:tableColumn id="1" name="table_id"/>
    <x:tableColumn id="2" name="title"/>
    <x:tableColumn id="3" name="frozen_source"/>
    <x:tableColumn id="4" name="status"/>
    <x:tableColumn id="5" name="planned_use"/>
    <x:tableColumn id="6" name="content"/>
    <x:tableColumn id="7" name="mandatory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endixTable" displayName="AppendixTable" ref="A1:E9" headerRowCount="1" totalsRowCount="0" totalsRowShown="0">
  <x:tableColumns count="5">
    <x:tableColumn id="1" name="appendix_id"/>
    <x:tableColumn id="2" name="title"/>
    <x:tableColumn id="3" name="source"/>
    <x:tableColumn id="4" name="status"/>
    <x:tableColumn id="5" name="curation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sionTable" displayName="ExclusionTable" ref="A1:E7" headerRowCount="1" totalsRowCount="0" totalsRowShown="0">
  <x:tableColumns count="5">
    <x:tableColumn id="1" name="exclusion_id"/>
    <x:tableColumn id="2" name="artifact_or_claim"/>
    <x:tableColumn id="3" name="reason"/>
    <x:tableColumn id="4" name="decision"/>
    <x:tableColumn id="5" name="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a76847ed4d44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f8336416f142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51d7a755824d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73c7e14240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e4b43b2377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1" customHeight="1">
      <x:c r="A1" s="15" t="str">
        <x:v>Combat Cognition — Final Figure, Table and Appendix Register</x:v>
      </x:c>
      <x:c r="B1" s="16"/>
      <x:c r="C1" s="16"/>
      <x:c r="D1" s="16"/>
      <x:c r="E1" s="16"/>
      <x:c r="F1" s="16"/>
      <x:c r="G1" s="16"/>
      <x:c r="H1" s="17"/>
    </x:row>
    <x:row r="2">
      <x:c r="A2" s="18" t="str">
        <x:v>Preparation step 3 artifact freeze. No thesis prose.</x:v>
      </x:c>
      <x:c r="B2" s="5"/>
      <x:c r="C2" s="5"/>
      <x:c r="D2" s="5"/>
      <x:c r="E2" s="5"/>
      <x:c r="F2" s="5"/>
      <x:c r="G2" s="5"/>
      <x:c r="H2" s="19"/>
    </x:row>
    <x:row r="3">
      <x:c r="A3" s="20"/>
      <x:c r="B3" s="21"/>
      <x:c r="C3" s="21"/>
      <x:c r="D3" s="21"/>
      <x:c r="E3" s="21"/>
      <x:c r="F3" s="21"/>
      <x:c r="G3" s="21"/>
      <x:c r="H3" s="22"/>
    </x:row>
    <x:row r="4">
      <x:c r="A4" s="23" t="str">
        <x:v>Register date</x:v>
      </x:c>
      <x:c r="B4" s="1" t="n">
        <x:v>46235</x:v>
      </x:c>
      <x:c r="C4" s="21"/>
      <x:c r="D4" s="21"/>
      <x:c r="E4" s="21"/>
      <x:c r="F4" s="21"/>
      <x:c r="G4" s="21"/>
      <x:c r="H4" s="22"/>
    </x:row>
    <x:row r="5">
      <x:c r="A5" s="23" t="str">
        <x:v>Figures</x:v>
      </x:c>
      <x:c r="B5" s="21" t="n">
        <x:f>COUNTA('Figure Register'!$A$2:$A$5)</x:f>
        <x:v>4</x:v>
      </x:c>
      <x:c r="C5" s="21"/>
      <x:c r="D5" s="21"/>
      <x:c r="E5" s="21"/>
      <x:c r="F5" s="21"/>
      <x:c r="G5" s="21"/>
      <x:c r="H5" s="22"/>
    </x:row>
    <x:row r="6">
      <x:c r="A6" s="23" t="str">
        <x:v>Ready figures</x:v>
      </x:c>
      <x:c r="B6" s="21" t="n">
        <x:f>COUNTIF('Figure Register'!$E$2:$E$5,"Ready")+COUNTIF('Figure Register'!$E$2:$E$5,"Ready with boundary")</x:f>
        <x:v>3</x:v>
      </x:c>
      <x:c r="C6" s="21"/>
      <x:c r="D6" s="21"/>
      <x:c r="E6" s="21"/>
      <x:c r="F6" s="21"/>
      <x:c r="G6" s="21"/>
      <x:c r="H6" s="22"/>
    </x:row>
    <x:row r="7">
      <x:c r="A7" s="23" t="str">
        <x:v>Restricted figures</x:v>
      </x:c>
      <x:c r="B7" s="21" t="n">
        <x:f>COUNTIF('Figure Register'!$E$2:$E$5,"Restricted—conditional")</x:f>
        <x:v>1</x:v>
      </x:c>
      <x:c r="C7" s="21"/>
      <x:c r="D7" s="21"/>
      <x:c r="E7" s="21"/>
      <x:c r="F7" s="21"/>
      <x:c r="G7" s="21"/>
      <x:c r="H7" s="22"/>
    </x:row>
    <x:row r="8">
      <x:c r="A8" s="23" t="str">
        <x:v>Tables</x:v>
      </x:c>
      <x:c r="B8" s="21" t="n">
        <x:f>COUNTA('Table Register'!$A$2:$A$8)</x:f>
        <x:v>7</x:v>
      </x:c>
      <x:c r="C8" s="21"/>
      <x:c r="D8" s="21"/>
      <x:c r="E8" s="21"/>
      <x:c r="F8" s="21"/>
      <x:c r="G8" s="21"/>
      <x:c r="H8" s="22"/>
    </x:row>
    <x:row r="9">
      <x:c r="A9" s="23" t="str">
        <x:v>Appendices</x:v>
      </x:c>
      <x:c r="B9" s="21" t="n">
        <x:f>COUNTA('Appendix Register'!$A$2:$A$9)</x:f>
        <x:v>8</x:v>
      </x:c>
      <x:c r="C9" s="21"/>
      <x:c r="D9" s="21"/>
      <x:c r="E9" s="21"/>
      <x:c r="F9" s="21"/>
      <x:c r="G9" s="21"/>
      <x:c r="H9" s="22"/>
    </x:row>
    <x:row r="10">
      <x:c r="A10" s="23" t="str">
        <x:v>Explicit exclusions</x:v>
      </x:c>
      <x:c r="B10" s="21" t="n">
        <x:f>COUNTA('Exclusion Register'!$A$2:$A$7)</x:f>
        <x:v>6</x:v>
      </x:c>
      <x:c r="C10" s="21"/>
      <x:c r="D10" s="21"/>
      <x:c r="E10" s="21"/>
      <x:c r="F10" s="21"/>
      <x:c r="G10" s="21"/>
      <x:c r="H10" s="22"/>
    </x:row>
    <x:row r="11">
      <x:c r="A11" s="23" t="str">
        <x:v>Missing architecture figure</x:v>
      </x:c>
      <x:c r="B11" s="21" t="str">
        <x:v>Resolved (F3)</x:v>
      </x:c>
      <x:c r="C11" s="21"/>
      <x:c r="D11" s="21"/>
      <x:c r="E11" s="21"/>
      <x:c r="F11" s="21"/>
      <x:c r="G11" s="21"/>
      <x:c r="H11" s="22"/>
    </x:row>
    <x:row r="12">
      <x:c r="A12" s="20"/>
      <x:c r="B12" s="21"/>
      <x:c r="C12" s="21"/>
      <x:c r="D12" s="21"/>
      <x:c r="E12" s="21"/>
      <x:c r="F12" s="21"/>
      <x:c r="G12" s="21"/>
      <x:c r="H12" s="22"/>
    </x:row>
    <x:row r="13">
      <x:c r="A13" s="24" t="str">
        <x:v>Scope</x:v>
      </x:c>
      <x:c r="B13" s="10" t="str">
        <x:v>Figure rule</x:v>
      </x:c>
      <x:c r="C13" s="10" t="str">
        <x:v>Table rule</x:v>
      </x:c>
      <x:c r="D13" s="10" t="str">
        <x:v>Appendix rule</x:v>
      </x:c>
      <x:c r="E13" s="10" t="str">
        <x:v>P001</x:v>
      </x:c>
      <x:c r="F13" s="10" t="str">
        <x:v>Model evidence</x:v>
      </x:c>
      <x:c r="G13" s="10" t="str">
        <x:v>Operational output</x:v>
      </x:c>
      <x:c r="H13" s="25" t="str">
        <x:v>Next gate</x:v>
      </x:c>
    </x:row>
    <x:row r="14" ht="72" customHeight="1">
      <x:c r="A14" s="26" t="str">
        <x:v>P001 · jab · laptop camera</x:v>
      </x:c>
      <x:c r="B14" s="27" t="str">
        <x:v>Use only frozen/hash-identified files</x:v>
      </x:c>
      <x:c r="C14" s="27" t="str">
        <x:v>Keep evidence tiers separate</x:v>
      </x:c>
      <x:c r="D14" s="27" t="str">
        <x:v>Curate; do not dump raw evidence</x:v>
      </x:c>
      <x:c r="E14" s="27" t="str">
        <x:v>Expert self-validation</x:v>
      </x:c>
      <x:c r="F14" s="27" t="str">
        <x:v>Benchmark/generated/model-only labels required</x:v>
      </x:c>
      <x:c r="G14" s="27" t="str">
        <x:v>Deterministic rule/template</x:v>
      </x:c>
      <x:c r="H14" s="28" t="str">
        <x:v>University-format chapter plan and claim approval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62" hidden="0" customWidth="1"/>
    <x:col min="4" max="4" width="67" hidden="0" customWidth="1"/>
    <x:col min="5" max="5" width="22" hidden="0" customWidth="1"/>
    <x:col min="6" max="6" width="28" hidden="0" customWidth="1"/>
    <x:col min="7" max="7" width="24" hidden="0" customWidth="1"/>
    <x:col min="8" max="8" width="58" hidden="0" customWidth="1"/>
  </x:cols>
  <x:sheetData>
    <x:row r="1">
      <x:c r="A1" s="31" t="str">
        <x:v>figure_id</x:v>
      </x:c>
      <x:c r="B1" s="31" t="str">
        <x:v>working_title</x:v>
      </x:c>
      <x:c r="C1" s="31" t="str">
        <x:v>frozen_path</x:v>
      </x:c>
      <x:c r="D1" s="31" t="str">
        <x:v>sha256</x:v>
      </x:c>
      <x:c r="E1" s="31" t="str">
        <x:v>status</x:v>
      </x:c>
      <x:c r="F1" s="31" t="str">
        <x:v>evidence_class</x:v>
      </x:c>
      <x:c r="G1" s="31" t="str">
        <x:v>planned_use</x:v>
      </x:c>
      <x:c r="H1" s="31" t="str">
        <x:v>mandatory_caption_boundary</x:v>
      </x:c>
    </x:row>
    <x:row r="2">
      <x:c r="A2" s="34" t="str">
        <x:v>F1</x:v>
      </x:c>
      <x:c r="B2" s="34" t="str">
        <x:v>ACP-STGAT normalized prediction error by horizon</x:v>
      </x:c>
      <x:c r="C2" s="34" t="str">
        <x:v>research/figures/verified/20260801/F1_acp_error_by_horizon.png</x:v>
      </x:c>
      <x:c r="D2" s="34" t="str">
        <x:v>0cec8ec24a3822057a41030342a844bf123979be7f1293aa8f425dd388bcea13</x:v>
      </x:c>
      <x:c r="E2" s="34" t="str">
        <x:v>Ready</x:v>
      </x:c>
      <x:c r="F2" s="34" t="str">
        <x:v>Offline model evaluation</x:v>
      </x:c>
      <x:c r="G2" s="34" t="str">
        <x:v>Results</x:v>
      </x:c>
      <x:c r="H2" s="34" t="str">
        <x:v>Normalized coordinates; Human3.6M-17 benchmark; not millimetres, accuracy percentage or live jab evidence</x:v>
      </x:c>
    </x:row>
    <x:row r="3">
      <x:c r="A3" s="34" t="str">
        <x:v>F2</x:v>
      </x:c>
      <x:c r="B3" s="34" t="str">
        <x:v>Generated-bootstrap temporal phase confusion matrix</x:v>
      </x:c>
      <x:c r="C3" s="34" t="str">
        <x:v>research/figures/verified/20260801/F2_phase_bootstrap_confusion_matrix.png</x:v>
      </x:c>
      <x:c r="D3" s="34" t="str">
        <x:v>d6ce62823e3a3087f5b5a17ffd15514cc43d8e93a48e57498c4d0cbfdab765db</x:v>
      </x:c>
      <x:c r="E3" s="34" t="str">
        <x:v>Ready with boundary</x:v>
      </x:c>
      <x:c r="F3" s="34" t="str">
        <x:v>Generated-data pipeline validation</x:v>
      </x:c>
      <x:c r="G3" s="34" t="str">
        <x:v>Results / pipeline verification</x:v>
      </x:c>
      <x:c r="H3" s="34" t="str">
        <x:v>Generator-defined phase structure only; not real-human or real-jab phase accuracy</x:v>
      </x:c>
    </x:row>
    <x:row r="4">
      <x:c r="A4" s="34" t="str">
        <x:v>F3</x:v>
      </x:c>
      <x:c r="B4" s="34" t="str">
        <x:v>Combat Cognition implemented architecture and evidence flow</x:v>
      </x:c>
      <x:c r="C4" s="34" t="str">
        <x:v>research/figures/verified/20260801/F3_combat_cognition_architecture_evidence_flow.png</x:v>
      </x:c>
      <x:c r="D4" s="34" t="str">
        <x:v>16d71cb71f9c2b3e1af327ad8632d441615a7c41eab7f78f9e7a53da418db6fa</x:v>
      </x:c>
      <x:c r="E4" s="34" t="str">
        <x:v>Ready</x:v>
      </x:c>
      <x:c r="F4" s="34" t="str">
        <x:v>Architecture and evidence classification</x:v>
      </x:c>
      <x:c r="G4" s="34" t="str">
        <x:v>Methodology / architecture</x:v>
      </x:c>
      <x:c r="H4" s="34" t="str">
        <x:v>Solid boxes are implemented; dashed future LLM is not operational; evidence classes remain separate</x:v>
      </x:c>
    </x:row>
    <x:row r="5">
      <x:c r="A5" s="34" t="str">
        <x:v>F4</x:v>
      </x:c>
      <x:c r="B5" s="34" t="str">
        <x:v>P001 practice-42 post-session three-cluster timeline</x:v>
      </x:c>
      <x:c r="C5" s="34" t="str">
        <x:v>research/figures/verified/20260801/F4_p001_practice42_three_cluster_timeline.png</x:v>
      </x:c>
      <x:c r="D5" s="34" t="str">
        <x:v>d9182ad1ae90d691e6129bde3f28cbda0c9dc6f68c9c842f5ea20f45ac36bf71</x:v>
      </x:c>
      <x:c r="E5" s="34" t="str">
        <x:v>Restricted—conditional</x:v>
      </x:c>
      <x:c r="F5" s="34" t="str">
        <x:v>Single-case functional evidence</x:v>
      </x:c>
      <x:c r="G5" s="34" t="str">
        <x:v>Framework case</x:v>
      </x:c>
      <x:c r="H5" s="34" t="str">
        <x:v>Use only after identity/privacy review; expert self-validation, not independent ground truth</x:v>
      </x:c>
    </x:row>
  </x:sheetData>
  <x:pageMargins left="0.7" right="0.7" top="0.75" bottom="0.75" header="0.3" footer="0.3"/>
  <x:tableParts count="1">
    <x:tablePart xmlns:r="http://schemas.openxmlformats.org/officeDocument/2006/relationships" r:id="Rd3a76847ed4d44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5" hidden="0" customWidth="1"/>
    <x:col min="3" max="3" width="85" hidden="0" customWidth="1"/>
  </x:cols>
  <x:sheetData>
    <x:row r="1">
      <x:c r="A1" s="10" t="str">
        <x:v>figure_id</x:v>
      </x:c>
      <x:c r="B1" s="10" t="str">
        <x:v>caption</x:v>
      </x:c>
      <x:c r="C1" s="10" t="str">
        <x:v>mandatory_note</x:v>
      </x:c>
    </x:row>
    <x:row r="2">
      <x:c r="A2" s="34" t="str">
        <x:v>F1</x:v>
      </x:c>
      <x:c r="B2" s="34" t="str">
        <x:v>ACP-STGAT normalized prediction error across the 30-frame forecast horizon on the participant-held-out Human3.6M-17 evaluation protocol.</x:v>
      </x:c>
      <x:c r="C2" s="34" t="str">
        <x:v>Error is reported in normalized coordinates. Model results are benchmark-specific and do not establish live jab prediction or physical-unit accuracy.</x:v>
      </x:c>
    </x:row>
    <x:row r="3">
      <x:c r="A3" s="34" t="str">
        <x:v>F2</x:v>
      </x:c>
      <x:c r="B3" s="34" t="str">
        <x:v>Temporal phase-classifier confusion matrix for the generated-bootstrap evaluation set.</x:v>
      </x:c>
      <x:c r="C3" s="34" t="str">
        <x:v>The matrix verifies generator-defined pipeline behaviour only and must not be interpreted as real-human or real-jab phase accuracy.</x:v>
      </x:c>
    </x:row>
    <x:row r="4">
      <x:c r="A4" s="34" t="str">
        <x:v>F3</x:v>
      </x:c>
      <x:c r="B4" s="34" t="str">
        <x:v>Implemented Combat Cognition architecture and the evidence classes attached to each computational layer.</x:v>
      </x:c>
      <x:c r="C4" s="34" t="str">
        <x:v>The operational coach uses deterministic rules/templates. The dashed LLM component is planned, not operational. Software, model, generated-data and P001 evidence are not combined into one accuracy measure.</x:v>
      </x:c>
    </x:row>
    <x:row r="5">
      <x:c r="A5" s="34" t="str">
        <x:v>F4</x:v>
      </x:c>
      <x:c r="B5" s="34" t="str">
        <x:v>Post-session three-cluster timeline for the confirmed P001 practice-42 jab case.</x:v>
      </x:c>
      <x:c r="C5" s="34" t="str">
        <x:v>P001 is the researcher/developer/martial-arts expert. Cluster confirmation is expert self-validation; use is conditional on final privacy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c9f8336416f142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68" hidden="0" customWidth="1"/>
    <x:col min="4" max="4" width="21" hidden="0" customWidth="1"/>
    <x:col min="5" max="5" width="26" hidden="0" customWidth="1"/>
    <x:col min="6" max="6" width="54" hidden="0" customWidth="1"/>
    <x:col min="7" max="7" width="58" hidden="0" customWidth="1"/>
  </x:cols>
  <x:sheetData>
    <x:row r="1">
      <x:c r="A1" s="31" t="str">
        <x:v>table_id</x:v>
      </x:c>
      <x:c r="B1" s="31" t="str">
        <x:v>title</x:v>
      </x:c>
      <x:c r="C1" s="31" t="str">
        <x:v>frozen_source</x:v>
      </x:c>
      <x:c r="D1" s="31" t="str">
        <x:v>status</x:v>
      </x:c>
      <x:c r="E1" s="31" t="str">
        <x:v>planned_use</x:v>
      </x:c>
      <x:c r="F1" s="31" t="str">
        <x:v>content</x:v>
      </x:c>
      <x:c r="G1" s="31" t="str">
        <x:v>mandatory_note</x:v>
      </x:c>
    </x:row>
    <x:row r="2">
      <x:c r="A2" s="34" t="str">
        <x:v>T1</x:v>
      </x:c>
      <x:c r="B2" s="34" t="str">
        <x:v>Architecture component and evidence classification</x:v>
      </x:c>
      <x:c r="C2" s="34" t="str">
        <x:v>research/architecture/component_evidence.csv</x:v>
      </x:c>
      <x:c r="D2" s="34" t="str">
        <x:v>Ready</x:v>
      </x:c>
      <x:c r="E2" s="34" t="str">
        <x:v>Methodology / architecture</x:v>
      </x:c>
      <x:c r="F2" s="34" t="str">
        <x:v>Implementation status, evidence source, limitation and future work</x:v>
      </x:c>
      <x:c r="G2" s="34" t="str">
        <x:v>Implemented does not mean empirically validated</x:v>
      </x:c>
    </x:row>
    <x:row r="3">
      <x:c r="A3" s="34" t="str">
        <x:v>T2</x:v>
      </x:c>
      <x:c r="B3" s="34" t="str">
        <x:v>ACP-STGAT offline metrics, baselines and robustness</x:v>
      </x:c>
      <x:c r="C3" s="34" t="str">
        <x:v>research/outputs/evidence_consolidation/20260801/Combat_Cognition_Evidence_Consolidation.xlsx — Model Metrics</x:v>
      </x:c>
      <x:c r="D3" s="34" t="str">
        <x:v>Ready</x:v>
      </x:c>
      <x:c r="E3" s="34" t="str">
        <x:v>Results</x:v>
      </x:c>
      <x:c r="F3" s="34" t="str">
        <x:v>Normalized MPJPE/ADE, FDE, bone error, last pose, constant velocity, robustness and ONNX latency</x:v>
      </x:c>
      <x:c r="G3" s="34" t="str">
        <x:v>Benchmark-specific normalized units; latency is model-only</x:v>
      </x:c>
    </x:row>
    <x:row r="4">
      <x:c r="A4" s="34" t="str">
        <x:v>T3</x:v>
      </x:c>
      <x:c r="B4" s="34" t="str">
        <x:v>Temporal phase generated-bootstrap metrics and robustness</x:v>
      </x:c>
      <x:c r="C4" s="34" t="str">
        <x:v>research/outputs/evidence_consolidation/20260801/Combat_Cognition_Evidence_Consolidation.xlsx — Model Metrics</x:v>
      </x:c>
      <x:c r="D4" s="34" t="str">
        <x:v>Ready with boundary</x:v>
      </x:c>
      <x:c r="E4" s="34" t="str">
        <x:v>Results / pipeline verification</x:v>
      </x:c>
      <x:c r="F4" s="34" t="str">
        <x:v>Accuracy, balanced accuracy, macro/per-class F1, confusion and ONNX latency</x:v>
      </x:c>
      <x:c r="G4" s="34" t="str">
        <x:v>Generated data only; no real boundary accuracy</x:v>
      </x:c>
    </x:row>
    <x:row r="5">
      <x:c r="A5" s="34" t="str">
        <x:v>T4</x:v>
      </x:c>
      <x:c r="B5" s="34" t="str">
        <x:v>Automated software verification</x:v>
      </x:c>
      <x:c r="C5" s="34" t="str">
        <x:v>research/outputs/evidence_consolidation/20260801/Combat_Cognition_Evidence_Consolidation.xlsx — Software Verification</x:v>
      </x:c>
      <x:c r="D5" s="34" t="str">
        <x:v>Ready</x:v>
      </x:c>
      <x:c r="E5" s="34" t="str">
        <x:v>Implementation verification</x:v>
      </x:c>
      <x:c r="F5" s="34" t="str">
        <x:v>Frontend assertions, backend tests and checked contracts</x:v>
      </x:c>
      <x:c r="G5" s="34" t="str">
        <x:v>Test success is not live coaching accuracy</x:v>
      </x:c>
    </x:row>
    <x:row r="6">
      <x:c r="A6" s="34" t="str">
        <x:v>T5</x:v>
      </x:c>
      <x:c r="B6" s="34" t="str">
        <x:v>P001 practice-42 evidence summary</x:v>
      </x:c>
      <x:c r="C6" s="34" t="str">
        <x:v>research/outputs/evidence_consolidation/20260801/Combat_Cognition_Evidence_Consolidation.xlsx — Framework Case</x:v>
      </x:c>
      <x:c r="D6" s="34" t="str">
        <x:v>Ready with boundary</x:v>
      </x:c>
      <x:c r="E6" s="34" t="str">
        <x:v>Framework case</x:v>
      </x:c>
      <x:c r="F6" s="34" t="str">
        <x:v>Three confirmed clusters, 250 frames, 8.3 s, 96% tracking and 22 decoder changes</x:v>
      </x:c>
      <x:c r="G6" s="34" t="str">
        <x:v>Single researcher-expert self-evaluation; application scores are not ground truth</x:v>
      </x:c>
    </x:row>
    <x:row r="7">
      <x:c r="A7" s="34" t="str">
        <x:v>T6</x:v>
      </x:c>
      <x:c r="B7" s="34" t="str">
        <x:v>Observed practice-42 data-layer inconsistency</x:v>
      </x:c>
      <x:c r="C7" s="34" t="str">
        <x:v>research/outputs/evidence_consolidation/20260801/Combat_Cognition_Evidence_Consolidation.xlsx — Framework Case</x:v>
      </x:c>
      <x:c r="D7" s="34" t="str">
        <x:v>Ready</x:v>
      </x:c>
      <x:c r="E7" s="34" t="str">
        <x:v>Failure analysis</x:v>
      </x:c>
      <x:c r="F7" s="34" t="str">
        <x:v>Canonical 3 reps, rule-engine 0 reps and one implausible-duration database repetition row</x:v>
      </x:c>
      <x:c r="G7" s="34" t="str">
        <x:v>Preserve contradictory values; do not silently harmonize</x:v>
      </x:c>
    </x:row>
    <x:row r="8">
      <x:c r="A8" s="34" t="str">
        <x:v>T7</x:v>
      </x:c>
      <x:c r="B8" s="34" t="str">
        <x:v>Controlled claim readiness and evaluation-action disposition</x:v>
      </x:c>
      <x:c r="C8" s="34" t="str">
        <x:v>research/outputs/claim_reconciliation/20260801/Combat_Cognition_Claim_Reconciliation.xlsx; research/outputs/evaluation_actions/20260801/Combat_Cognition_Evaluation_Action_Register.xlsx</x:v>
      </x:c>
      <x:c r="D8" s="34" t="str">
        <x:v>Ready</x:v>
      </x:c>
      <x:c r="E8" s="34" t="str">
        <x:v>Discussion / limitations planning</x:v>
      </x:c>
      <x:c r="F8" s="34" t="str">
        <x:v>Four supported-with-boundary claims, five partial claims, four closed actions and eight open-bounded actions</x:v>
      </x:c>
      <x:c r="G8" s="34" t="str">
        <x:v>No unsupported inference; open items must remain limitations/future evaluation</x:v>
      </x:c>
    </x:row>
  </x:sheetData>
  <x:pageMargins left="0.7" right="0.7" top="0.75" bottom="0.75" header="0.3" footer="0.3"/>
  <x:tableParts count="1">
    <x:tablePart xmlns:r="http://schemas.openxmlformats.org/officeDocument/2006/relationships" r:id="R4c51d7a755824d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72" hidden="0" customWidth="1"/>
    <x:col min="4" max="4" width="24" hidden="0" customWidth="1"/>
    <x:col min="5" max="5" width="72" hidden="0" customWidth="1"/>
  </x:cols>
  <x:sheetData>
    <x:row r="1">
      <x:c r="A1" s="37" t="str">
        <x:v>appendix_id</x:v>
      </x:c>
      <x:c r="B1" s="37" t="str">
        <x:v>title</x:v>
      </x:c>
      <x:c r="C1" s="37" t="str">
        <x:v>source</x:v>
      </x:c>
      <x:c r="D1" s="37" t="str">
        <x:v>status</x:v>
      </x:c>
      <x:c r="E1" s="37" t="str">
        <x:v>curation_rule</x:v>
      </x:c>
    </x:row>
    <x:row r="2">
      <x:c r="A2" s="34" t="str">
        <x:v>A1</x:v>
      </x:c>
      <x:c r="B2" s="34" t="str">
        <x:v>Architecture and implementation evidence register</x:v>
      </x:c>
      <x:c r="C2" s="34" t="str">
        <x:v>research/architecture/component_evidence.csv; research/architecture/design_knowledge_register.csv</x:v>
      </x:c>
      <x:c r="D2" s="34" t="str">
        <x:v>Include</x:v>
      </x:c>
      <x:c r="E2" s="34" t="str">
        <x:v>Remove repository-internal detail not useful to assessment; retain status and limits</x:v>
      </x:c>
    </x:row>
    <x:row r="3">
      <x:c r="A3" s="34" t="str">
        <x:v>A2</x:v>
      </x:c>
      <x:c r="B3" s="34" t="str">
        <x:v>ACP-STGAT provenance, metrics and robustness record</x:v>
      </x:c>
      <x:c r="C3" s="34" t="str">
        <x:v>research/outputs/acp_stgat/20260731T061529Z/</x:v>
      </x:c>
      <x:c r="D3" s="34" t="str">
        <x:v>Include selected tables</x:v>
      </x:c>
      <x:c r="E3" s="34" t="str">
        <x:v>Exclude large checkpoints and model binaries; retain provenance and metric records</x:v>
      </x:c>
    </x:row>
    <x:row r="4">
      <x:c r="A4" s="34" t="str">
        <x:v>A3</x:v>
      </x:c>
      <x:c r="B4" s="34" t="str">
        <x:v>Temporal phase-classifier provenance and generated-data evaluation</x:v>
      </x:c>
      <x:c r="C4" s="34" t="str">
        <x:v>research/outputs/phase_classifier/20260731T091140Z/</x:v>
      </x:c>
      <x:c r="D4" s="34" t="str">
        <x:v>Include selected tables</x:v>
      </x:c>
      <x:c r="E4" s="34" t="str">
        <x:v>State generated-bootstrap status prominently; exclude large binaries</x:v>
      </x:c>
    </x:row>
    <x:row r="5">
      <x:c r="A5" s="34" t="str">
        <x:v>A4</x:v>
      </x:c>
      <x:c r="B5" s="34" t="str">
        <x:v>Software verification summary</x:v>
      </x:c>
      <x:c r="C5" s="34" t="str">
        <x:v>research/system-evaluation/ALGORITHMIC_AWARENESS_VERIFICATION.md; evidence consolidation software sheet</x:v>
      </x:c>
      <x:c r="D5" s="34" t="str">
        <x:v>Include</x:v>
      </x:c>
      <x:c r="E5" s="34" t="str">
        <x:v>Summarize assertions/tests; do not reproduce excessive raw console output</x:v>
      </x:c>
    </x:row>
    <x:row r="6">
      <x:c r="A6" s="34" t="str">
        <x:v>A5</x:v>
      </x:c>
      <x:c r="B6" s="34" t="str">
        <x:v>P001 feasibility protocol and anonymized case evidence</x:v>
      </x:c>
      <x:c r="C6" s="34" t="str">
        <x:v>research/pilot-study/; confirmed practice-42 derived evidence; categorized screenshots</x:v>
      </x:c>
      <x:c r="D6" s="34" t="str">
        <x:v>Restricted—curated only</x:v>
      </x:c>
      <x:c r="E6" s="34" t="str">
        <x:v>Exclude recordings, identity and unnecessary screenshots; include only approved anonymized derivatives</x:v>
      </x:c>
    </x:row>
    <x:row r="7">
      <x:c r="A7" s="34" t="str">
        <x:v>A6</x:v>
      </x:c>
      <x:c r="B7" s="34" t="str">
        <x:v>Database export interpretation and retained failure mode</x:v>
      </x:c>
      <x:c r="C7" s="34" t="str">
        <x:v>research/outputs/framework_evaluation/20260801T143145Z_database_export/EXPORT_INTERPRETATION.md</x:v>
      </x:c>
      <x:c r="D7" s="34" t="str">
        <x:v>Include interpretation only</x:v>
      </x:c>
      <x:c r="E7" s="34" t="str">
        <x:v>Exclude the 31.97 MB raw JSON and identifying movement tapes from the submitted report</x:v>
      </x:c>
    </x:row>
    <x:row r="8">
      <x:c r="A8" s="34" t="str">
        <x:v>A7</x:v>
      </x:c>
      <x:c r="B8" s="34" t="str">
        <x:v>Verified literature matrix and selected-claim extracts</x:v>
      </x:c>
      <x:c r="C8" s="34" t="str">
        <x:v>research/outputs/literature/20260801/Combat_Cognition_Verified_Literature_Matrix_v4.xlsx</x:v>
      </x:c>
      <x:c r="D8" s="34" t="str">
        <x:v>Include selected register</x:v>
      </x:c>
      <x:c r="E8" s="34" t="str">
        <x:v>Use citation-ready entries; do not paste extensive copyrighted source text</x:v>
      </x:c>
    </x:row>
    <x:row r="9">
      <x:c r="A9" s="34" t="str">
        <x:v>A8</x:v>
      </x:c>
      <x:c r="B9" s="34" t="str">
        <x:v>Claim reconciliation, evaluation actions and evidence locks</x:v>
      </x:c>
      <x:c r="C9" s="34" t="str">
        <x:v>research/outputs/claim_reconciliation/20260801/; research/outputs/evaluation_actions/20260801/</x:v>
      </x:c>
      <x:c r="D9" s="34" t="str">
        <x:v>Include selected registers</x:v>
      </x:c>
      <x:c r="E9" s="34" t="str">
        <x:v>Use as audit trail; keep preparation language separate from thesis prose</x:v>
      </x:c>
    </x:row>
  </x:sheetData>
  <x:pageMargins left="0.7" right="0.7" top="0.75" bottom="0.75" header="0.3" footer="0.3"/>
  <x:tableParts count="1">
    <x:tablePart xmlns:r="http://schemas.openxmlformats.org/officeDocument/2006/relationships" r:id="Rce73c7e1424040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55" hidden="0" customWidth="1"/>
    <x:col min="4" max="4" width="32" hidden="0" customWidth="1"/>
    <x:col min="5" max="5" width="65" hidden="0" customWidth="1"/>
  </x:cols>
  <x:sheetData>
    <x:row r="1">
      <x:c r="A1" s="40" t="str">
        <x:v>exclusion_id</x:v>
      </x:c>
      <x:c r="B1" s="40" t="str">
        <x:v>artifact_or_claim</x:v>
      </x:c>
      <x:c r="C1" s="40" t="str">
        <x:v>reason</x:v>
      </x:c>
      <x:c r="D1" s="40" t="str">
        <x:v>decision</x:v>
      </x:c>
      <x:c r="E1" s="40" t="str">
        <x:v>handling</x:v>
      </x:c>
    </x:row>
    <x:row r="2">
      <x:c r="A2" s="34" t="str">
        <x:v>X01</x:v>
      </x:c>
      <x:c r="B2" s="34" t="str">
        <x:v>Original recordings</x:v>
      </x:c>
      <x:c r="C2" s="34" t="str">
        <x:v>Privacy / user instruction</x:v>
      </x:c>
      <x:c r="D2" s="34" t="str">
        <x:v>Exclude from report and appendices</x:v>
      </x:c>
      <x:c r="E2" s="34" t="str">
        <x:v>Private evidence only</x:v>
      </x:c>
    </x:row>
    <x:row r="3">
      <x:c r="A3" s="34" t="str">
        <x:v>X02</x:v>
      </x:c>
      <x:c r="B3" s="34" t="str">
        <x:v>Raw 31.97 MB research export and landmark tapes</x:v>
      </x:c>
      <x:c r="C3" s="34" t="str">
        <x:v>Potentially identifying movement data; disproportionate size</x:v>
      </x:c>
      <x:c r="D3" s="34" t="str">
        <x:v>Exclude from submitted report</x:v>
      </x:c>
      <x:c r="E3" s="34" t="str">
        <x:v>Retain locally with hash; cite interpretation/curated subset only</x:v>
      </x:c>
    </x:row>
    <x:row r="4">
      <x:c r="A4" s="34" t="str">
        <x:v>X03</x:v>
      </x:c>
      <x:c r="B4" s="34" t="str">
        <x:v>Historical/outlier session aggregates</x:v>
      </x:c>
      <x:c r="C4" s="34" t="str">
        <x:v>Development and exploratory records lack controlled-condition labels</x:v>
      </x:c>
      <x:c r="D4" s="34" t="str">
        <x:v>Exclude from headline results</x:v>
      </x:c>
      <x:c r="E4" s="34" t="str">
        <x:v>May be referenced only as development history or failure availability</x:v>
      </x:c>
    </x:row>
    <x:row r="5">
      <x:c r="A5" s="34" t="str">
        <x:v>X04</x:v>
      </x:c>
      <x:c r="B5" s="34" t="str">
        <x:v>Unnecessary screenshots</x:v>
      </x:c>
      <x:c r="C5" s="34" t="str">
        <x:v>Redundant and potentially identifying</x:v>
      </x:c>
      <x:c r="D5" s="34" t="str">
        <x:v>Exclude</x:v>
      </x:c>
      <x:c r="E5" s="34" t="str">
        <x:v>Use the minimum anonymized screenshots needed for functional illustration</x:v>
      </x:c>
    </x:row>
    <x:row r="6">
      <x:c r="A6" s="34" t="str">
        <x:v>X05</x:v>
      </x:c>
      <x:c r="B6" s="34" t="str">
        <x:v>OpenAI/LLM operational results</x:v>
      </x:c>
      <x:c r="C6" s="34" t="str">
        <x:v>No operational LLM found</x:v>
      </x:c>
      <x:c r="D6" s="34" t="str">
        <x:v>Exclude as achieved evidence</x:v>
      </x:c>
      <x:c r="E6" s="34" t="str">
        <x:v>Future-work concept only</x:v>
      </x:c>
    </x:row>
    <x:row r="7">
      <x:c r="A7" s="34" t="str">
        <x:v>X06</x:v>
      </x:c>
      <x:c r="B7" s="34" t="str">
        <x:v>Combined overall accuracy</x:v>
      </x:c>
      <x:c r="C7" s="34" t="str">
        <x:v>Incommensurable evidence tiers</x:v>
      </x:c>
      <x:c r="D7" s="34" t="str">
        <x:v>Prohibited</x:v>
      </x:c>
      <x:c r="E7" s="34" t="str">
        <x:v>Report model, software and framework-case evidence separately</x:v>
      </x:c>
    </x:row>
  </x:sheetData>
  <x:pageMargins left="0.7" right="0.7" top="0.75" bottom="0.75" header="0.3" footer="0.3"/>
  <x:tableParts count="1">
    <x:tablePart xmlns:r="http://schemas.openxmlformats.org/officeDocument/2006/relationships" r:id="Ra4e4b43b237743a0"/>
  </x:tableParts>
</x:worksheet>
</file>