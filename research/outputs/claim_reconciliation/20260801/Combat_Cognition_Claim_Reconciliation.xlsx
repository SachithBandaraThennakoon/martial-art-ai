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ac35e22a4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 Summary" sheetId="1" r:id="R4063a67d631c4800"/>
    <x:sheet xmlns:r="http://schemas.openxmlformats.org/officeDocument/2006/relationships" name="Claim Reconciliation" sheetId="2" r:id="Rc5bcb2e45da5485e"/>
    <x:sheet xmlns:r="http://schemas.openxmlformats.org/officeDocument/2006/relationships" name="Local Evidence Index" sheetId="3" r:id="Rdc1e53bd860849b3"/>
    <x:sheet xmlns:r="http://schemas.openxmlformats.org/officeDocument/2006/relationships" name="Decision Rules" sheetId="4" r:id="R2d4bbc14eeb1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244F62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5" borderId="4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5A32"/>
      </x:font>
      <x:fill>
        <x:patternFill patternType="solid">
          <x:bgColor rgb="FFDDF2E3"/>
        </x:patternFill>
      </x:fill>
    </x:dxf>
    <x:dxf>
      <x:font>
        <x:b/>
        <x:color rgb="FF7A4E12"/>
      </x:font>
      <x:fill>
        <x:patternFill patternType="solid">
          <x:bgColor rgb="FFFFF2CC"/>
        </x:patternFill>
      </x:fill>
    </x:dxf>
    <x:dxf>
      <x:font>
        <x:b/>
        <x:color rgb="FF145A32"/>
      </x:font>
      <x:fill>
        <x:patternFill patternType="solid">
          <x:bgColor rgb="FFDD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010065bfb4a21" /><Relationship Type="http://schemas.openxmlformats.org/officeDocument/2006/relationships/theme" Target="/xl/theme/theme1.xml" Id="Rda95f46655354325" /><Relationship Type="http://schemas.openxmlformats.org/officeDocument/2006/relationships/sharedStrings" Target="/xl/sharedStrings.xml" Id="Red05e455cf954d0d" /><Relationship Type="http://schemas.openxmlformats.org/officeDocument/2006/relationships/worksheet" Target="/xl/worksheets/sheet1.xml" Id="R4063a67d631c4800" /><Relationship Type="http://schemas.openxmlformats.org/officeDocument/2006/relationships/worksheet" Target="/xl/worksheets/sheet2.xml" Id="Rc5bcb2e45da5485e" /><Relationship Type="http://schemas.openxmlformats.org/officeDocument/2006/relationships/worksheet" Target="/xl/worksheets/sheet3.xml" Id="Rdc1e53bd860849b3" /><Relationship Type="http://schemas.openxmlformats.org/officeDocument/2006/relationships/worksheet" Target="/xl/worksheets/sheet4.xml" Id="R2d4bbc14eeb141bb" /></Relationships>
</file>

<file path=xl/tables/table1.xml><?xml version="1.0" encoding="utf-8"?>
<x:table xmlns:x="http://schemas.openxmlformats.org/spreadsheetml/2006/main" id="1" name="ClaimReconciliationTable" displayName="ClaimReconciliationTable" ref="A1:J10" headerRowCount="1" totalsRowCount="0" totalsRowShown="0">
  <x:tableColumns count="10">
    <x:tableColumn id="1" name="claim_id"/>
    <x:tableColumn id="2" name="controlled_claim"/>
    <x:tableColumn id="3" name="literature_sources"/>
    <x:tableColumn id="4" name="local_evidence_ids"/>
    <x:tableColumn id="5" name="classification"/>
    <x:tableColumn id="6" name="defensible_statement"/>
    <x:tableColumn id="7" name="prohibited_overclaim"/>
    <x:tableColumn id="8" name="action_id_for_next_gate"/>
    <x:tableColumn id="9" name="thesis_readiness"/>
    <x:tableColumn id="10" name="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lEvidenceTable" displayName="LocalEvidenceTable" ref="A1:F10" headerRowCount="1" totalsRowCount="0" totalsRowShown="0">
  <x:tableColumns count="6">
    <x:tableColumn id="1" name="evidence_id"/>
    <x:tableColumn id="2" name="evidence_group"/>
    <x:tableColumn id="3" name="record"/>
    <x:tableColumn id="4" name="path_or_source"/>
    <x:tableColumn id="5" name="verified_observation"/>
    <x:tableColumn id="6" name="mandatory_lim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RulesTable" displayName="DecisionRulesTable" ref="A1:C7" headerRowCount="1" totalsRowCount="0" totalsRowShown="0">
  <x:tableColumns count="3">
    <x:tableColumn id="1" name="rule"/>
    <x:tableColumn id="2" name="meaning"/>
    <x:tableColumn id="3" name="ap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d05c96023243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f5f8062cc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86295fde949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1" customHeight="1">
      <x:c r="A1" s="24" t="str">
        <x:v>Combat Cognition — Literature-to-Local-Evidence Reconciliation</x:v>
      </x:c>
      <x:c r="B1" s="25"/>
      <x:c r="C1" s="25"/>
      <x:c r="D1" s="25"/>
      <x:c r="E1" s="25"/>
      <x:c r="F1" s="25"/>
      <x:c r="G1" s="25"/>
      <x:c r="H1" s="26"/>
    </x:row>
    <x:row r="2" ht="24" customHeight="1">
      <x:c r="A2" s="27" t="str">
        <x:v>Frozen preparation register; P001 jab-only laptop-camera feasibility case. This is not thesis prose.</x:v>
      </x:c>
      <x:c r="B2" s="14"/>
      <x:c r="C2" s="14"/>
      <x:c r="D2" s="14"/>
      <x:c r="E2" s="14"/>
      <x:c r="F2" s="14"/>
      <x:c r="G2" s="14"/>
      <x:c r="H2" s="28"/>
    </x:row>
    <x:row r="3">
      <x:c r="A3" s="29"/>
      <x:c r="B3" s="30"/>
      <x:c r="C3" s="30"/>
      <x:c r="D3" s="30"/>
      <x:c r="E3" s="30"/>
      <x:c r="F3" s="30"/>
      <x:c r="G3" s="30"/>
      <x:c r="H3" s="31"/>
    </x:row>
    <x:row r="4">
      <x:c r="A4" s="32" t="str">
        <x:v>Register date</x:v>
      </x:c>
      <x:c r="B4" s="11" t="n">
        <x:v>46235</x:v>
      </x:c>
      <x:c r="C4" s="30"/>
      <x:c r="D4" s="30"/>
      <x:c r="E4" s="30"/>
      <x:c r="F4" s="30"/>
      <x:c r="G4" s="30"/>
      <x:c r="H4" s="31"/>
    </x:row>
    <x:row r="5">
      <x:c r="A5" s="32" t="str">
        <x:v>Controlled claims</x:v>
      </x:c>
      <x:c r="B5" s="30" t="n">
        <x:f>COUNTA('Claim Reconciliation'!$A$2:$A$10)</x:f>
        <x:v>9</x:v>
      </x:c>
      <x:c r="C5" s="30"/>
      <x:c r="D5" s="30"/>
      <x:c r="E5" s="30"/>
      <x:c r="F5" s="30"/>
      <x:c r="G5" s="30"/>
      <x:c r="H5" s="31"/>
    </x:row>
    <x:row r="6">
      <x:c r="A6" s="32" t="str">
        <x:v>Supported with boundary</x:v>
      </x:c>
      <x:c r="B6" s="30" t="n">
        <x:f>COUNTIF('Claim Reconciliation'!$E$2:$E$10,"Supported with boundary")</x:f>
        <x:v>4</x:v>
      </x:c>
      <x:c r="C6" s="30"/>
      <x:c r="D6" s="30"/>
      <x:c r="E6" s="30"/>
      <x:c r="F6" s="30"/>
      <x:c r="G6" s="30"/>
      <x:c r="H6" s="31"/>
    </x:row>
    <x:row r="7">
      <x:c r="A7" s="32" t="str">
        <x:v>Partially supported</x:v>
      </x:c>
      <x:c r="B7" s="30" t="n">
        <x:f>COUNTIF('Claim Reconciliation'!$E$2:$E$10,"Partially supported")</x:f>
        <x:v>5</x:v>
      </x:c>
      <x:c r="C7" s="30"/>
      <x:c r="D7" s="30"/>
      <x:c r="E7" s="30"/>
      <x:c r="F7" s="30"/>
      <x:c r="G7" s="30"/>
      <x:c r="H7" s="31"/>
    </x:row>
    <x:row r="8">
      <x:c r="A8" s="32" t="str">
        <x:v>Unsupported</x:v>
      </x:c>
      <x:c r="B8" s="30" t="n">
        <x:f>COUNTIF('Claim Reconciliation'!$E$2:$E$10,"Unsupported")</x:f>
        <x:v>0</x:v>
      </x:c>
      <x:c r="C8" s="30"/>
      <x:c r="D8" s="30"/>
      <x:c r="E8" s="30"/>
      <x:c r="F8" s="30"/>
      <x:c r="G8" s="30"/>
      <x:c r="H8" s="31"/>
    </x:row>
    <x:row r="9">
      <x:c r="A9" s="32" t="str">
        <x:v>Ready with boundary</x:v>
      </x:c>
      <x:c r="B9" s="30" t="n">
        <x:f>COUNTIF('Claim Reconciliation'!$I$2:$I$10,"Ready with boundary")</x:f>
        <x:v>4</x:v>
      </x:c>
      <x:c r="C9" s="30"/>
      <x:c r="D9" s="30"/>
      <x:c r="E9" s="30"/>
      <x:c r="F9" s="30"/>
      <x:c r="G9" s="30"/>
      <x:c r="H9" s="31"/>
    </x:row>
    <x:row r="10">
      <x:c r="A10" s="32" t="str">
        <x:v>Pending next-gate action</x:v>
      </x:c>
      <x:c r="B10" s="30" t="n">
        <x:f>COUNTIF('Claim Reconciliation'!$I$2:$I$10,"Pending")</x:f>
        <x:v>5</x:v>
      </x:c>
      <x:c r="C10" s="30"/>
      <x:c r="D10" s="30"/>
      <x:c r="E10" s="30"/>
      <x:c r="F10" s="30"/>
      <x:c r="G10" s="30"/>
      <x:c r="H10" s="31"/>
    </x:row>
    <x:row r="11">
      <x:c r="A11" s="29"/>
      <x:c r="B11" s="30"/>
      <x:c r="C11" s="30"/>
      <x:c r="D11" s="30"/>
      <x:c r="E11" s="30"/>
      <x:c r="F11" s="30"/>
      <x:c r="G11" s="30"/>
      <x:c r="H11" s="31"/>
    </x:row>
    <x:row r="12" ht="34" customHeight="1">
      <x:c r="A12" s="33" t="str">
        <x:v>Authoritative case</x:v>
      </x:c>
      <x:c r="B12" s="19" t="str">
        <x:v>Allowed outcome</x:v>
      </x:c>
      <x:c r="C12" s="19" t="str">
        <x:v>Disallowed outcome</x:v>
      </x:c>
      <x:c r="D12" s="19" t="str">
        <x:v>Operational feedback</x:v>
      </x:c>
      <x:c r="E12" s="19" t="str">
        <x:v>Phase evidence</x:v>
      </x:c>
      <x:c r="F12" s="19" t="str">
        <x:v>P001 evidence</x:v>
      </x:c>
      <x:c r="G12" s="19" t="str">
        <x:v>Video handling</x:v>
      </x:c>
      <x:c r="H12" s="34" t="str">
        <x:v>Next protocol gate</x:v>
      </x:c>
    </x:row>
    <x:row r="13" ht="96" customHeight="1">
      <x:c r="A13" s="35" t="str">
        <x:v>P001 researcher/developer/martial-arts expert; jab only; laptop camera</x:v>
      </x:c>
      <x:c r="B13" s="36" t="str">
        <x:v>Expert feasibility/self-evaluation and bounded artifact evidence</x:v>
      </x:c>
      <x:c r="C13" s="36" t="str">
        <x:v>Effectiveness, population generalization, independent validation or combined overall accuracy</x:v>
      </x:c>
      <x:c r="D13" s="36" t="str">
        <x:v>Deterministic rule/template; no operational OpenAI LLM</x:v>
      </x:c>
      <x:c r="E13" s="36" t="str">
        <x:v>Generated bootstrap only</x:v>
      </x:c>
      <x:c r="F13" s="36" t="str">
        <x:v>practice-42: 3 confirmed clusters; self-validation</x:v>
      </x:c>
      <x:c r="G13" s="36" t="str">
        <x:v>Private; excluded from report</x:v>
      </x:c>
      <x:c r="H13" s="37" t="str">
        <x:v>Create unresolved evaluation-action register from EA01, EA02, EA04–EA06 plus cross-cutting gaps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3" hidden="0" customWidth="1"/>
    <x:col min="3" max="3" width="19" hidden="0" customWidth="1"/>
    <x:col min="4" max="4" width="18" hidden="0" customWidth="1"/>
    <x:col min="5" max="5" width="21" hidden="0" customWidth="1"/>
    <x:col min="6" max="6" width="52" hidden="0" customWidth="1"/>
    <x:col min="7" max="7" width="52" hidden="0" customWidth="1"/>
    <x:col min="8" max="8" width="18" hidden="0" customWidth="1"/>
    <x:col min="9" max="9" width="20" hidden="0" customWidth="1"/>
    <x:col min="10" max="10" width="48" hidden="0" customWidth="1"/>
  </x:cols>
  <x:sheetData>
    <x:row r="1">
      <x:c r="A1" s="4" t="str">
        <x:v>claim_id</x:v>
      </x:c>
      <x:c r="B1" s="4" t="str">
        <x:v>controlled_claim</x:v>
      </x:c>
      <x:c r="C1" s="4" t="str">
        <x:v>literature_sources</x:v>
      </x:c>
      <x:c r="D1" s="4" t="str">
        <x:v>local_evidence_ids</x:v>
      </x:c>
      <x:c r="E1" s="4" t="str">
        <x:v>classification</x:v>
      </x:c>
      <x:c r="F1" s="4" t="str">
        <x:v>defensible_statement</x:v>
      </x:c>
      <x:c r="G1" s="4" t="str">
        <x:v>prohibited_overclaim</x:v>
      </x:c>
      <x:c r="H1" s="4" t="str">
        <x:v>action_id_for_next_gate</x:v>
      </x:c>
      <x:c r="I1" s="4" t="str">
        <x:v>thesis_readiness</x:v>
      </x:c>
      <x:c r="J1" s="4" t="str">
        <x:v>rationale</x:v>
      </x:c>
    </x:row>
    <x:row r="2">
      <x:c r="A2" s="7" t="str">
        <x:v>C01</x:v>
      </x:c>
      <x:c r="B2" s="7" t="str">
        <x:v>Laptop-camera landmark perception is technically feasible</x:v>
      </x:c>
      <x:c r="C2" s="7" t="str">
        <x:v>S01; S02; S03; S04</x:v>
      </x:c>
      <x:c r="D2" s="7" t="str">
        <x:v>LE01; LE02; LE08</x:v>
      </x:c>
      <x:c r="E2" s="7" t="str">
        <x:v>Partially supported</x:v>
      </x:c>
      <x:c r="F2" s="7" t="str">
        <x:v>Implemented functional feasibility is evidenced for the P001 jab case using a laptop camera.</x:v>
      </x:c>
      <x:c r="G2" s="7" t="str">
        <x:v>The application has validated landmark, jab-form, or coaching accuracy.</x:v>
      </x:c>
      <x:c r="H2" s="7" t="str">
        <x:v>EA01</x:v>
      </x:c>
      <x:c r="I2" s="7" t="str">
        <x:v>Pending</x:v>
      </x:c>
      <x:c r="J2" s="7" t="str">
        <x:v>Local software tests and screenshots show operation; no independent landmark/form accuracy study.</x:v>
      </x:c>
    </x:row>
    <x:row r="3">
      <x:c r="A3" s="7" t="str">
        <x:v>C02</x:v>
      </x:c>
      <x:c r="B3" s="7" t="str">
        <x:v>Skeleton sequences can be represented with spatial-temporal graphs</x:v>
      </x:c>
      <x:c r="C3" s="7" t="str">
        <x:v>S05; S06; S07; S10</x:v>
      </x:c>
      <x:c r="D3" s="7" t="str">
        <x:v>LE03; LE04</x:v>
      </x:c>
      <x:c r="E3" s="7" t="str">
        <x:v>Partially supported</x:v>
      </x:c>
      <x:c r="F3" s="7" t="str">
        <x:v>ACP-STGAT implements a spatial-temporal skeletal prediction pipeline and has offline pipeline evidence.</x:v>
      </x:c>
      <x:c r="G3" s="7" t="str">
        <x:v>External action-recognition results validate ACP-STGAT for real jab prediction.</x:v>
      </x:c>
      <x:c r="H3" s="7" t="str">
        <x:v>EA02</x:v>
      </x:c>
      <x:c r="I3" s="7" t="str">
        <x:v>Pending</x:v>
      </x:c>
      <x:c r="J3" s="7" t="str">
        <x:v>Architecture and generated/benchmark-derived checks exist; grouped real jab prediction and ablations do not.</x:v>
      </x:c>
    </x:row>
    <x:row r="4">
      <x:c r="A4" s="7" t="str">
        <x:v>C03</x:v>
      </x:c>
      <x:c r="B4" s="7" t="str">
        <x:v>Future-pose evaluation needs simple baselines and horizon-specific errors</x:v>
      </x:c>
      <x:c r="C4" s="7" t="str">
        <x:v>S08; S09</x:v>
      </x:c>
      <x:c r="D4" s="7" t="str">
        <x:v>LE03</x:v>
      </x:c>
      <x:c r="E4" s="7" t="str">
        <x:v>Supported with boundary</x:v>
      </x:c>
      <x:c r="F4" s="7" t="str">
        <x:v>ACP results report normalized MPJPE/ADE/FDE, per-horizon evidence, and last-pose and constant-velocity baselines in normalized coordinates.</x:v>
      </x:c>
      <x:c r="G4" s="7" t="str">
        <x:v>The reported errors are millimetres, jab-domain performance, or state-of-the-art superiority.</x:v>
      </x:c>
      <x:c r="H4" s="7" t="str">
        <x:v>Resolved</x:v>
      </x:c>
      <x:c r="I4" s="7" t="str">
        <x:v>Ready with boundary</x:v>
      </x:c>
      <x:c r="J4" s="7" t="str">
        <x:v>The frozen ACP package reports 18.6% lower mean error than last pose and 21.6% lower mean error than constant velocity; the result remains benchmark-specific.</x:v>
      </x:c>
    </x:row>
    <x:row r="5">
      <x:c r="A5" s="7" t="str">
        <x:v>C04</x:v>
      </x:c>
      <x:c r="B5" s="7" t="str">
        <x:v>Ordered movement requires temporal and segment evaluation beyond frame accuracy</x:v>
      </x:c>
      <x:c r="C5" s="7" t="str">
        <x:v>S11; S12</x:v>
      </x:c>
      <x:c r="D5" s="7" t="str">
        <x:v>LE04; LE06</x:v>
      </x:c>
      <x:c r="E5" s="7" t="str">
        <x:v>Partially supported</x:v>
      </x:c>
      <x:c r="F5" s="7" t="str">
        <x:v>The generated-data phase pipeline reports accuracy, balanced accuracy, macro/per-class F1 and a confusion matrix; post-session decoding changed 22 P001 frames.</x:v>
      </x:c>
      <x:c r="G5" s="7" t="str">
        <x:v>These values establish real-jab phase accuracy or boundary performance.</x:v>
      </x:c>
      <x:c r="H5" s="7" t="str">
        <x:v>EA04</x:v>
      </x:c>
      <x:c r="I5" s="7" t="str">
        <x:v>Pending</x:v>
      </x:c>
      <x:c r="J5" s="7" t="str">
        <x:v>Generator-defined structure is verified; real annotated phase/boundary evaluation is absent.</x:v>
      </x:c>
    </x:row>
    <x:row r="6">
      <x:c r="A6" s="7" t="str">
        <x:v>C05</x:v>
      </x:c>
      <x:c r="B6" s="7" t="str">
        <x:v>Monocular 3D evidence is uncertain and domain-dependent</x:v>
      </x:c>
      <x:c r="C6" s="7" t="str">
        <x:v>S13; S14; S15; S16</x:v>
      </x:c>
      <x:c r="D6" s="7" t="str">
        <x:v>LE01; LE06; LE08</x:v>
      </x:c>
      <x:c r="E6" s="7" t="str">
        <x:v>Supported with boundary</x:v>
      </x:c>
      <x:c r="F6" s="7" t="str">
        <x:v>The laptop-camera case must treat pose depth, angles, visibility and occlusion as uncertain, domain-dependent evidence.</x:v>
      </x:c>
      <x:c r="G6" s="7" t="str">
        <x:v>Camera coordinates are calibrated 3D biomechanics or universal physical measurements.</x:v>
      </x:c>
      <x:c r="H6" s="7" t="str">
        <x:v>None</x:v>
      </x:c>
      <x:c r="I6" s="7" t="str">
        <x:v>Ready with boundary</x:v>
      </x:c>
      <x:c r="J6" s="7" t="str">
        <x:v>The claim is a limitation supported by literature and the declared capture configuration; it does not assert system accuracy.</x:v>
      </x:c>
    </x:row>
    <x:row r="7">
      <x:c r="A7" s="7" t="str">
        <x:v>C06</x:v>
      </x:c>
      <x:c r="B7" s="7" t="str">
        <x:v>Situation awareness is a conceptual lens for perception, comprehension and projection</x:v>
      </x:c>
      <x:c r="C7" s="7" t="str">
        <x:v>S17</x:v>
      </x:c>
      <x:c r="D7" s="7" t="str">
        <x:v>LE02; LE05</x:v>
      </x:c>
      <x:c r="E7" s="7" t="str">
        <x:v>Partially supported</x:v>
      </x:c>
      <x:c r="F7" s="7" t="str">
        <x:v>The implementation operationalizes bounded computational perception, state interpretation and projection functions across L1-L4 and a context packet.</x:v>
      </x:c>
      <x:c r="G7" s="7" t="str">
        <x:v>The software possesses human awareness, complete cognition, or biological reasoning.</x:v>
      </x:c>
      <x:c r="H7" s="7" t="str">
        <x:v>EA05</x:v>
      </x:c>
      <x:c r="I7" s="7" t="str">
        <x:v>Pending</x:v>
      </x:c>
      <x:c r="J7" s="7" t="str">
        <x:v>Component paths are verified; comparative end-to-end decision benefit is not tested.</x:v>
      </x:c>
    </x:row>
    <x:row r="8">
      <x:c r="A8" s="7" t="str">
        <x:v>C07</x:v>
      </x:c>
      <x:c r="B8" s="7" t="str">
        <x:v>Artifact evaluation fits an expert-informed design-science case</x:v>
      </x:c>
      <x:c r="C8" s="7" t="str">
        <x:v>S18</x:v>
      </x:c>
      <x:c r="D8" s="7" t="str">
        <x:v>LE02; LE03; LE04; LE06; LE07</x:v>
      </x:c>
      <x:c r="E8" s="7" t="str">
        <x:v>Supported with boundary</x:v>
      </x:c>
      <x:c r="F8" s="7" t="str">
        <x:v>The artifact can be evaluated as a single-participant expert feasibility and self-evaluation case using software, model, case and failure-mode evidence.</x:v>
      </x:c>
      <x:c r="G8" s="7" t="str">
        <x:v>The case establishes effectiveness, population usability, or independent validation.</x:v>
      </x:c>
      <x:c r="H8" s="7" t="str">
        <x:v>None</x:v>
      </x:c>
      <x:c r="I8" s="7" t="str">
        <x:v>Ready with boundary</x:v>
      </x:c>
      <x:c r="J8" s="7" t="str">
        <x:v>Method fit is supported, provided reflexive bias and the feasibility-only scope remain explicit.</x:v>
      </x:c>
    </x:row>
    <x:row r="9">
      <x:c r="A9" s="7" t="str">
        <x:v>C08</x:v>
      </x:c>
      <x:c r="B9" s="7" t="str">
        <x:v>Jab performance is multi-joint and context dependent</x:v>
      </x:c>
      <x:c r="C9" s="7" t="str">
        <x:v>S19; S20; S21</x:v>
      </x:c>
      <x:c r="D9" s="7" t="str">
        <x:v>LE05; LE06; LE08</x:v>
      </x:c>
      <x:c r="E9" s="7" t="str">
        <x:v>Partially supported</x:v>
      </x:c>
      <x:c r="F9" s="7" t="str">
        <x:v>P001 traces demonstrate that the implemented coaching logic considers elbow, shoulder, guard and ordered movement context.</x:v>
      </x:c>
      <x:c r="G9" s="7" t="str">
        <x:v>The chosen degree thresholds are universal, clinically valid, or independently biomechanically validated.</x:v>
      </x:c>
      <x:c r="H9" s="7" t="str">
        <x:v>EA06</x:v>
      </x:c>
      <x:c r="I9" s="7" t="str">
        <x:v>Pending</x:v>
      </x:c>
      <x:c r="J9" s="7" t="str">
        <x:v>Literature and expert traces support variable selection; threshold correctness lacks independent triangulation.</x:v>
      </x:c>
    </x:row>
    <x:row r="10">
      <x:c r="A10" s="7" t="str">
        <x:v>C09</x:v>
      </x:c>
      <x:c r="B10" s="7" t="str">
        <x:v>STGAT name similarity is not task equivalence</x:v>
      </x:c>
      <x:c r="C10" s="7" t="str">
        <x:v>S22</x:v>
      </x:c>
      <x:c r="D10" s="7" t="str">
        <x:v>LE03; LE09</x:v>
      </x:c>
      <x:c r="E10" s="7" t="str">
        <x:v>Supported with boundary</x:v>
      </x:c>
      <x:c r="F10" s="7" t="str">
        <x:v>The pedestrian STGAT paper is retained only as a terminology exclusion and not as direct support for articulated pose prediction.</x:v>
      </x:c>
      <x:c r="G10" s="7" t="str">
        <x:v>Pedestrian trajectory results validate ACP-STGAT or jab anticipation.</x:v>
      </x:c>
      <x:c r="H10" s="7" t="str">
        <x:v>None</x:v>
      </x:c>
      <x:c r="I10" s="7" t="str">
        <x:v>Ready with boundary</x:v>
      </x:c>
      <x:c r="J10" s="7" t="str">
        <x:v>The exclusion is explicit in both literature and local claim control.</x:v>
      </x:c>
    </x:row>
  </x:sheetData>
  <x:conditionalFormatting sqref="E2:E10">
    <x:cfRule type="expression" dxfId="0" priority="1">
      <x:formula>LEFT(E2,9)="Supported"</x:formula>
    </x:cfRule>
    <x:cfRule type="expression" dxfId="1" priority="2">
      <x:formula>LEFT(E2,9)="Partially"</x:formula>
    </x:cfRule>
  </x:conditionalFormatting>
  <x:conditionalFormatting sqref="I2:I10">
    <x:cfRule type="expression" dxfId="2" priority="3">
      <x:formula>LEFT(I2,5)="Ready"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d05c96023243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0" hidden="0" customWidth="1"/>
    <x:col min="4" max="4" width="58" hidden="0" customWidth="1"/>
    <x:col min="5" max="5" width="55" hidden="0" customWidth="1"/>
    <x:col min="6" max="6" width="55" hidden="0" customWidth="1"/>
  </x:cols>
  <x:sheetData>
    <x:row r="1">
      <x:c r="A1" s="10" t="str">
        <x:v>evidence_id</x:v>
      </x:c>
      <x:c r="B1" s="10" t="str">
        <x:v>evidence_group</x:v>
      </x:c>
      <x:c r="C1" s="10" t="str">
        <x:v>record</x:v>
      </x:c>
      <x:c r="D1" s="10" t="str">
        <x:v>path_or_source</x:v>
      </x:c>
      <x:c r="E1" s="10" t="str">
        <x:v>verified_observation</x:v>
      </x:c>
      <x:c r="F1" s="10" t="str">
        <x:v>mandatory_limit</x:v>
      </x:c>
    </x:row>
    <x:row r="2">
      <x:c r="A2" s="7" t="str">
        <x:v>LE01</x:v>
      </x:c>
      <x:c r="B2" s="7" t="str">
        <x:v>Perception implementation</x:v>
      </x:c>
      <x:c r="C2" s="7" t="str">
        <x:v>component_evidence.csv: P01, P02</x:v>
      </x:c>
      <x:c r="D2" s="7" t="str">
        <x:v>research/architecture/component_evidence.csv</x:v>
      </x:c>
      <x:c r="E2" s="7" t="str">
        <x:v>Implemented MediaPipe body, hand and face readiness signals</x:v>
      </x:c>
      <x:c r="F2" s="7" t="str">
        <x:v>Functional implementation only; camera/viewpoint reliability not quantified</x:v>
      </x:c>
    </x:row>
    <x:row r="3">
      <x:c r="A3" s="7" t="str">
        <x:v>LE02</x:v>
      </x:c>
      <x:c r="B3" s="7" t="str">
        <x:v>Software verification</x:v>
      </x:c>
      <x:c r="C3" s="7" t="str">
        <x:v>Frontend and backend verification</x:v>
      </x:c>
      <x:c r="D3" s="7" t="str">
        <x:v>research/outputs/evidence_consolidation/20260801/Combat_Cognition_Evidence_Consolidation.xlsx</x:v>
      </x:c>
      <x:c r="E3" s="7" t="str">
        <x:v>129/129 frontend assertions across 23 files; 24/24 backend tests</x:v>
      </x:c>
      <x:c r="F3" s="7" t="str">
        <x:v>Software correctness is not task accuracy</x:v>
      </x:c>
    </x:row>
    <x:row r="4">
      <x:c r="A4" s="7" t="str">
        <x:v>LE03</x:v>
      </x:c>
      <x:c r="B4" s="7" t="str">
        <x:v>ACP-STGAT evaluation</x:v>
      </x:c>
      <x:c r="C4" s="7" t="str">
        <x:v>Frozen ACP evaluation package</x:v>
      </x:c>
      <x:c r="D4" s="7" t="str">
        <x:v>research/outputs/acp_stgat/20260731T061529Z/RESULT_INTERPRETATION.md</x:v>
      </x:c>
      <x:c r="E4" s="7" t="str">
        <x:v>Normalized MPJPE/ADE 0.07839 (SD 0.00155); FDE 0.13639 (SD 0.00237); 18.6% lower mean error than last pose; 21.6% lower than constant velocity; ONNX median 9.88 ms, p95 12.81 ms</x:v>
      </x:c>
      <x:c r="F4" s="7" t="str">
        <x:v>Participant-held-out Human3.6M-17 benchmark; not jab-domain, physical-unit or full-pipeline evidence</x:v>
      </x:c>
    </x:row>
    <x:row r="5">
      <x:c r="A5" s="7" t="str">
        <x:v>LE04</x:v>
      </x:c>
      <x:c r="B5" s="7" t="str">
        <x:v>Phase classifier evaluation</x:v>
      </x:c>
      <x:c r="C5" s="7" t="str">
        <x:v>Frozen generated-bootstrap package</x:v>
      </x:c>
      <x:c r="D5" s="7" t="str">
        <x:v>research/outputs/phase_classifier/20260731T091140Z/RESULT_INTERPRETATION.md</x:v>
      </x:c>
      <x:c r="E5" s="7" t="str">
        <x:v>Accuracy 0.87841; balanced accuracy 0.90841; macro F1 0.89155; ONNX median 5.74 ms, p95 30.49 ms</x:v>
      </x:c>
      <x:c r="F5" s="7" t="str">
        <x:v>Generator-defined structure only; no real annotated boundary evaluation</x:v>
      </x:c>
    </x:row>
    <x:row r="6">
      <x:c r="A6" s="7" t="str">
        <x:v>LE05</x:v>
      </x:c>
      <x:c r="B6" s="7" t="str">
        <x:v>Framework implementation</x:v>
      </x:c>
      <x:c r="C6" s="7" t="str">
        <x:v>L1-L4, situation awareness, biomechanics and deterministic coaching components</x:v>
      </x:c>
      <x:c r="D6" s="7" t="str">
        <x:v>research/architecture/component_evidence.csv</x:v>
      </x:c>
      <x:c r="E6" s="7" t="str">
        <x:v>Implemented temporal state, forecast gates, context packet and rule/template feedback</x:v>
      </x:c>
      <x:c r="F6" s="7" t="str">
        <x:v>End-to-end comparative benefit and threshold calibration pending</x:v>
      </x:c>
    </x:row>
    <x:row r="7">
      <x:c r="A7" s="7" t="str">
        <x:v>LE06</x:v>
      </x:c>
      <x:c r="B7" s="7" t="str">
        <x:v>Controlled P001 case</x:v>
      </x:c>
      <x:c r="C7" s="7" t="str">
        <x:v>Confirmed practice-42</x:v>
      </x:c>
      <x:c r="D7" s="7" t="str">
        <x:v>research/outputs/evidence_consolidation/20260801/Combat_Cognition_Evidence_Consolidation.xlsx</x:v>
      </x:c>
      <x:c r="E7" s="7" t="str">
        <x:v>Three expert-confirmed clusters; 250 frames; 8.3 s; 96% tracking; 22 decoder-changed frames</x:v>
      </x:c>
      <x:c r="F7" s="7" t="str">
        <x:v>Single researcher-expert self-validation; summary/rep-row inconsistency retained</x:v>
      </x:c>
    </x:row>
    <x:row r="8">
      <x:c r="A8" s="7" t="str">
        <x:v>LE07</x:v>
      </x:c>
      <x:c r="B8" s="7" t="str">
        <x:v>Database export</x:v>
      </x:c>
      <x:c r="C8" s="7" t="str">
        <x:v>Full August 1 export and interpretation</x:v>
      </x:c>
      <x:c r="D8" s="7" t="str">
        <x:v>research/outputs/framework_evaluation/20260801T143145Z_database_export/EXPORT_INTERPRETATION.md</x:v>
      </x:c>
      <x:c r="E8" s="7" t="str">
        <x:v>42 practice sessions, 58 repetitions, 7,277 frames, 185 training sessions, 3,623 feedback events</x:v>
      </x:c>
      <x:c r="F8" s="7" t="str">
        <x:v>Historical/development records are not a controlled sample; no condition or response-time labels</x:v>
      </x:c>
    </x:row>
    <x:row r="9">
      <x:c r="A9" s="7" t="str">
        <x:v>LE08</x:v>
      </x:c>
      <x:c r="B9" s="7" t="str">
        <x:v>Screenshot evidence</x:v>
      </x:c>
      <x:c r="C9" s="7" t="str">
        <x:v>Categorized UI evidence</x:v>
      </x:c>
      <x:c r="D9" s="7" t="str">
        <x:v>User-provided categorized Research folders and P001 analysis panel</x:v>
      </x:c>
      <x:c r="E9" s="7" t="str">
        <x:v>78 restricted screenshots across Train, Practice, Analysis, Admin, Dashboard and Pages</x:v>
      </x:c>
      <x:c r="F9" s="7" t="str">
        <x:v>Functional/visual evidence only; videos private and excluded</x:v>
      </x:c>
    </x:row>
    <x:row r="10">
      <x:c r="A10" s="7" t="str">
        <x:v>LE09</x:v>
      </x:c>
      <x:c r="B10" s="7" t="str">
        <x:v>Terminology control</x:v>
      </x:c>
      <x:c r="C10" s="7" t="str">
        <x:v>Literature exclusion log</x:v>
      </x:c>
      <x:c r="D10" s="7" t="str">
        <x:v>research/outputs/literature/20260801/Combat_Cognition_Verified_Literature_Matrix_v4.xlsx</x:v>
      </x:c>
      <x:c r="E10" s="7" t="str">
        <x:v>S22 explicitly excluded from direct skeletal-pose support</x:v>
      </x:c>
      <x:c r="F10" s="7" t="str">
        <x:v>No numerical result may be transferred from the pedestrian task</x:v>
      </x:c>
    </x:row>
  </x:sheetData>
  <x:pageMargins left="0.7" right="0.7" top="0.75" bottom="0.75" header="0.3" footer="0.3"/>
  <x:tableParts count="1">
    <x:tablePart xmlns:r="http://schemas.openxmlformats.org/officeDocument/2006/relationships" r:id="R818f5f8062cc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</x:cols>
  <x:sheetData>
    <x:row r="1">
      <x:c r="A1" s="40" t="str">
        <x:v>rule</x:v>
      </x:c>
      <x:c r="B1" s="40" t="str">
        <x:v>meaning</x:v>
      </x:c>
      <x:c r="C1" s="40" t="str">
        <x:v>application</x:v>
      </x:c>
    </x:row>
    <x:row r="2">
      <x:c r="A2" s="43" t="str">
        <x:v>Supported with boundary</x:v>
      </x:c>
      <x:c r="B2" s="43" t="str">
        <x:v>Literature and local evidence directly justify a bounded feasibility, limitation, methodology or exclusion claim.</x:v>
      </x:c>
      <x:c r="C2" s="43" t="str">
        <x:v>Boundary must appear beside the claim.</x:v>
      </x:c>
    </x:row>
    <x:row r="3">
      <x:c r="A3" s="43" t="str">
        <x:v>Partially supported</x:v>
      </x:c>
      <x:c r="B3" s="43" t="str">
        <x:v>Some local evidence exists, but a required comparator, real-domain label, latency measure, independent review or validation is absent.</x:v>
      </x:c>
      <x:c r="C3" s="43" t="str">
        <x:v>Use only the defensible statement; carry the action ID to the next protocol gate.</x:v>
      </x:c>
    </x:row>
    <x:row r="4">
      <x:c r="A4" s="43" t="str">
        <x:v>Unsupported</x:v>
      </x:c>
      <x:c r="B4" s="43" t="str">
        <x:v>No adequate local evidence exists for the controlled claim.</x:v>
      </x:c>
      <x:c r="C4" s="43" t="str">
        <x:v>Do not write as a result; redesign, evaluate, or move to future work.</x:v>
      </x:c>
    </x:row>
    <x:row r="5">
      <x:c r="A5" s="43" t="str">
        <x:v>Evidence hierarchy</x:v>
      </x:c>
      <x:c r="B5" s="43" t="str">
        <x:v>Model, software, framework-case and literature evidence remain separate.</x:v>
      </x:c>
      <x:c r="C5" s="43" t="str">
        <x:v>Never calculate or report a combined overall accuracy.</x:v>
      </x:c>
    </x:row>
    <x:row r="6">
      <x:c r="A6" s="43" t="str">
        <x:v>P001 scope</x:v>
      </x:c>
      <x:c r="B6" s="43" t="str">
        <x:v>Researcher/developer/expert self-evaluation of one jab case.</x:v>
      </x:c>
      <x:c r="C6" s="43" t="str">
        <x:v>Never call this participant usability, independent expert validation or population effectiveness.</x:v>
      </x:c>
    </x:row>
    <x:row r="7">
      <x:c r="A7" s="43" t="str">
        <x:v>Screenshots/videos</x:v>
      </x:c>
      <x:c r="B7" s="43" t="str">
        <x:v>Screenshots are restricted functional evidence; recordings remain private.</x:v>
      </x:c>
      <x:c r="C7" s="43" t="str">
        <x:v>Do not insert videos into the report or treat screenshots as accuracy proof.</x:v>
      </x:c>
    </x:row>
  </x:sheetData>
  <x:pageMargins left="0.7" right="0.7" top="0.75" bottom="0.75" header="0.3" footer="0.3"/>
  <x:tableParts count="1">
    <x:tablePart xmlns:r="http://schemas.openxmlformats.org/officeDocument/2006/relationships" r:id="R6ef86295fde94969"/>
  </x:tableParts>
</x:worksheet>
</file>